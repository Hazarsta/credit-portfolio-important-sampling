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17738\Downloads\"/>
    </mc:Choice>
  </mc:AlternateContent>
  <xr:revisionPtr revIDLastSave="0" documentId="13_ncr:1_{908F26A8-D7D5-42C1-B39A-F1CCF2478016}" xr6:coauthVersionLast="47" xr6:coauthVersionMax="47" xr10:uidLastSave="{00000000-0000-0000-0000-000000000000}"/>
  <bookViews>
    <workbookView xWindow="730" yWindow="1120" windowWidth="24840" windowHeight="14050" activeTab="1" xr2:uid="{00000000-000D-0000-FFFF-FFFF00000000}"/>
  </bookViews>
  <sheets>
    <sheet name="30_70" sheetId="1" r:id="rId1"/>
    <sheet name="Sheet1" sheetId="5" r:id="rId2"/>
    <sheet name="50_50" sheetId="2" r:id="rId3"/>
    <sheet name="Sheet2" sheetId="6" r:id="rId4"/>
    <sheet name="70_30" sheetId="3" r:id="rId5"/>
    <sheet name="Sheet3" sheetId="7" r:id="rId6"/>
    <sheet name="all_portfolio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3" l="1" a="1"/>
  <c r="O4" i="3" s="1"/>
  <c r="O4" i="2" a="1"/>
  <c r="O4" i="2" s="1"/>
  <c r="O4" i="1" a="1"/>
  <c r="O4" i="1" s="1"/>
  <c r="P34" i="1" a="1"/>
  <c r="P34" i="1" s="1"/>
  <c r="N51" i="3" a="1"/>
  <c r="N51" i="3" s="1"/>
  <c r="N46" i="3" a="1"/>
  <c r="N46" i="3" s="1"/>
  <c r="K5" i="3" a="1"/>
  <c r="K5" i="3" s="1"/>
  <c r="K5" i="2" a="1"/>
  <c r="K5" i="2" s="1"/>
  <c r="K5" i="1" a="1"/>
  <c r="K5" i="1" s="1"/>
  <c r="O48" i="3" a="1"/>
  <c r="O48" i="3" s="1"/>
  <c r="M46" i="3" a="1"/>
  <c r="M46" i="3" s="1"/>
  <c r="L48" i="3" a="1"/>
  <c r="L48" i="3" s="1"/>
  <c r="O30" i="1" a="1"/>
  <c r="O30" i="1" s="1"/>
  <c r="O46" i="3" a="1"/>
  <c r="O46" i="3" s="1"/>
  <c r="L44" i="3" a="1"/>
  <c r="L44" i="3" s="1"/>
  <c r="L50" i="2" a="1"/>
  <c r="L50" i="2" s="1"/>
  <c r="K46" i="3" a="1"/>
  <c r="K46" i="3" s="1"/>
  <c r="L14" i="2" a="1"/>
  <c r="L14" i="2" s="1"/>
  <c r="L14" i="1" a="1"/>
  <c r="L14" i="1" s="1"/>
  <c r="P5" i="3" a="1"/>
  <c r="P5" i="3" s="1"/>
  <c r="P5" i="2" a="1"/>
  <c r="P5" i="2" s="1"/>
  <c r="P5" i="1" a="1"/>
  <c r="P5" i="1" s="1"/>
  <c r="O14" i="2" a="1"/>
  <c r="O14" i="2" s="1"/>
  <c r="O14" i="1" a="1"/>
  <c r="O14" i="1" s="1"/>
  <c r="O34" i="1" a="1"/>
  <c r="O34" i="1" s="1"/>
  <c r="P44" i="3" a="1"/>
  <c r="P44" i="3" s="1"/>
  <c r="P50" i="2" a="1"/>
  <c r="P50" i="2" s="1"/>
  <c r="L28" i="3" a="1"/>
  <c r="L28" i="3" s="1"/>
  <c r="L38" i="2" a="1"/>
  <c r="L38" i="2" s="1"/>
  <c r="L44" i="1" a="1"/>
  <c r="L44" i="1" s="1"/>
  <c r="M28" i="3" a="1"/>
  <c r="M28" i="3" s="1"/>
  <c r="M38" i="2" a="1"/>
  <c r="M38" i="2" s="1"/>
  <c r="M44" i="1" a="1"/>
  <c r="M44" i="1" s="1"/>
  <c r="K51" i="3" a="1"/>
  <c r="K51" i="3" s="1"/>
  <c r="L4" i="3" a="1"/>
  <c r="L4" i="3" s="1"/>
  <c r="L4" i="2" a="1"/>
  <c r="L4" i="2" s="1"/>
  <c r="L4" i="1" a="1"/>
  <c r="L4" i="1" s="1"/>
  <c r="P14" i="2" a="1"/>
  <c r="P14" i="2" s="1"/>
  <c r="P14" i="1" a="1"/>
  <c r="P14" i="1" s="1"/>
  <c r="K30" i="1" a="1"/>
  <c r="K30" i="1" s="1"/>
  <c r="M4" i="3" a="1"/>
  <c r="M4" i="3" s="1"/>
  <c r="M4" i="2" a="1"/>
  <c r="M4" i="2" s="1"/>
  <c r="M4" i="1" a="1"/>
  <c r="M4" i="1" s="1"/>
  <c r="N14" i="2" a="1"/>
  <c r="N14" i="2" s="1"/>
  <c r="N14" i="1" a="1"/>
  <c r="N14" i="1" s="1"/>
  <c r="P48" i="3" a="1"/>
  <c r="P48" i="3" s="1"/>
  <c r="P28" i="3" a="1"/>
  <c r="P28" i="3" s="1"/>
  <c r="P38" i="2" a="1"/>
  <c r="P38" i="2" s="1"/>
  <c r="P44" i="1" a="1"/>
  <c r="P44" i="1" s="1"/>
  <c r="M30" i="1" a="1"/>
  <c r="M30" i="1" s="1"/>
  <c r="O51" i="3" a="1"/>
  <c r="O51" i="3" s="1"/>
  <c r="O44" i="3" a="1"/>
  <c r="O44" i="3" s="1"/>
  <c r="O50" i="2" a="1"/>
  <c r="O50" i="2" s="1"/>
  <c r="M51" i="3" a="1"/>
  <c r="M51" i="3" s="1"/>
  <c r="P4" i="3" a="1"/>
  <c r="P4" i="3" s="1"/>
  <c r="P4" i="2" a="1"/>
  <c r="P4" i="2" s="1"/>
  <c r="P4" i="1" a="1"/>
  <c r="P4" i="1" s="1"/>
  <c r="K28" i="3" a="1"/>
  <c r="K28" i="3" s="1"/>
  <c r="K38" i="2" a="1"/>
  <c r="K38" i="2" s="1"/>
  <c r="K44" i="1" a="1"/>
  <c r="K44" i="1" s="1"/>
  <c r="N28" i="3" a="1"/>
  <c r="N28" i="3" s="1"/>
  <c r="N38" i="2" a="1"/>
  <c r="N38" i="2" s="1"/>
  <c r="N44" i="1" a="1"/>
  <c r="N44" i="1" s="1"/>
  <c r="K4" i="3" a="1"/>
  <c r="K4" i="3" s="1"/>
  <c r="K4" i="2" a="1"/>
  <c r="K4" i="2" s="1"/>
  <c r="K4" i="1" a="1"/>
  <c r="K4" i="1" s="1"/>
  <c r="M34" i="1" a="1"/>
  <c r="M34" i="1" s="1"/>
  <c r="M5" i="3" a="1"/>
  <c r="M5" i="3" s="1"/>
  <c r="M5" i="2" a="1"/>
  <c r="M5" i="2" s="1"/>
  <c r="M5" i="1" a="1"/>
  <c r="M5" i="1" s="1"/>
  <c r="L46" i="3" a="1"/>
  <c r="L46" i="3" s="1"/>
  <c r="N5" i="3" a="1"/>
  <c r="N5" i="3" s="1"/>
  <c r="N5" i="2" a="1"/>
  <c r="N5" i="2" s="1"/>
  <c r="N5" i="1" a="1"/>
  <c r="N5" i="1" s="1"/>
  <c r="M44" i="3" a="1"/>
  <c r="M44" i="3" s="1"/>
  <c r="M50" i="2" a="1"/>
  <c r="M50" i="2" s="1"/>
  <c r="K48" i="3" a="1"/>
  <c r="K48" i="3" s="1"/>
  <c r="M48" i="3" a="1"/>
  <c r="M48" i="3" s="1"/>
  <c r="M14" i="2" a="1"/>
  <c r="M14" i="2" s="1"/>
  <c r="M14" i="1" a="1"/>
  <c r="M14" i="1" s="1"/>
  <c r="L34" i="1" a="1"/>
  <c r="L34" i="1" s="1"/>
  <c r="P30" i="1" a="1"/>
  <c r="P30" i="1" s="1"/>
  <c r="N44" i="3" a="1"/>
  <c r="N44" i="3" s="1"/>
  <c r="N50" i="2" a="1"/>
  <c r="N50" i="2" s="1"/>
  <c r="N34" i="1" a="1"/>
  <c r="N34" i="1" s="1"/>
  <c r="L5" i="3" a="1"/>
  <c r="L5" i="3" s="1"/>
  <c r="L5" i="2" a="1"/>
  <c r="L5" i="2" s="1"/>
  <c r="L5" i="1" a="1"/>
  <c r="L5" i="1" s="1"/>
  <c r="N30" i="1" a="1"/>
  <c r="N30" i="1" s="1"/>
  <c r="L51" i="3" a="1"/>
  <c r="L51" i="3" s="1"/>
  <c r="K34" i="1" a="1"/>
  <c r="K34" i="1" s="1"/>
  <c r="K14" i="2" a="1"/>
  <c r="K14" i="2" s="1"/>
  <c r="K14" i="1" a="1"/>
  <c r="K14" i="1" s="1"/>
  <c r="K44" i="3" a="1"/>
  <c r="K44" i="3" s="1"/>
  <c r="K50" i="2" a="1"/>
  <c r="K50" i="2" s="1"/>
  <c r="N48" i="3" a="1"/>
  <c r="N48" i="3" s="1"/>
  <c r="P51" i="3" a="1"/>
  <c r="P51" i="3" s="1"/>
  <c r="O5" i="3" a="1"/>
  <c r="O5" i="3" s="1"/>
  <c r="O5" i="2" a="1"/>
  <c r="O5" i="2" s="1"/>
  <c r="O5" i="1" a="1"/>
  <c r="O5" i="1" s="1"/>
  <c r="N4" i="3" a="1"/>
  <c r="N4" i="3" s="1"/>
  <c r="N4" i="2" a="1"/>
  <c r="N4" i="2" s="1"/>
  <c r="N4" i="1" a="1"/>
  <c r="N4" i="1" s="1"/>
  <c r="P46" i="3" a="1"/>
  <c r="P46" i="3" s="1"/>
  <c r="L30" i="1" a="1"/>
  <c r="L30" i="1" s="1"/>
  <c r="O28" i="3" a="1"/>
  <c r="O28" i="3" s="1"/>
  <c r="O38" i="2" a="1"/>
  <c r="O38" i="2" s="1"/>
  <c r="O44" i="1" a="1"/>
  <c r="O44" i="1" s="1"/>
  <c r="L14" i="3" a="1"/>
  <c r="L14" i="3" s="1"/>
  <c r="L13" i="3" a="1"/>
  <c r="L13" i="3" s="1"/>
  <c r="L13" i="2" a="1"/>
  <c r="L13" i="2" s="1"/>
  <c r="L13" i="1" a="1"/>
  <c r="L13" i="1" s="1"/>
  <c r="O50" i="3" a="1"/>
  <c r="O50" i="3" s="1"/>
  <c r="L8" i="3" a="1"/>
  <c r="L8" i="3" s="1"/>
  <c r="L8" i="2" a="1"/>
  <c r="L8" i="2" s="1"/>
  <c r="L8" i="1" a="1"/>
  <c r="L8" i="1" s="1"/>
  <c r="M35" i="3" a="1"/>
  <c r="M35" i="3" s="1"/>
  <c r="L45" i="3" a="1"/>
  <c r="L45" i="3" s="1"/>
  <c r="L51" i="2" a="1"/>
  <c r="L51" i="2" s="1"/>
  <c r="L51" i="1" a="1"/>
  <c r="L51" i="1" s="1"/>
  <c r="M8" i="3" a="1"/>
  <c r="M8" i="3" s="1"/>
  <c r="M8" i="2" a="1"/>
  <c r="M8" i="2" s="1"/>
  <c r="M8" i="1" a="1"/>
  <c r="M8" i="1" s="1"/>
  <c r="P34" i="3" a="1"/>
  <c r="P34" i="3" s="1"/>
  <c r="P44" i="2" a="1"/>
  <c r="P44" i="2" s="1"/>
  <c r="K35" i="3" a="1"/>
  <c r="K35" i="3" s="1"/>
  <c r="O8" i="3" a="1"/>
  <c r="O8" i="3" s="1"/>
  <c r="O8" i="2" a="1"/>
  <c r="O8" i="2" s="1"/>
  <c r="O8" i="1" a="1"/>
  <c r="O8" i="1" s="1"/>
  <c r="L26" i="3" a="1"/>
  <c r="L26" i="3" s="1"/>
  <c r="L36" i="2" a="1"/>
  <c r="L36" i="2" s="1"/>
  <c r="L43" i="1" a="1"/>
  <c r="L43" i="1" s="1"/>
  <c r="P14" i="3" a="1"/>
  <c r="P14" i="3" s="1"/>
  <c r="P13" i="3" a="1"/>
  <c r="P13" i="3" s="1"/>
  <c r="P13" i="2" a="1"/>
  <c r="P13" i="2" s="1"/>
  <c r="P13" i="1" a="1"/>
  <c r="P13" i="1" s="1"/>
  <c r="N8" i="3" a="1"/>
  <c r="N8" i="3" s="1"/>
  <c r="N8" i="2" a="1"/>
  <c r="N8" i="2" s="1"/>
  <c r="N8" i="1" a="1"/>
  <c r="N8" i="1" s="1"/>
  <c r="O39" i="3" a="1"/>
  <c r="O39" i="3" s="1"/>
  <c r="O38" i="3" a="1"/>
  <c r="O38" i="3" s="1"/>
  <c r="O3" i="3" a="1"/>
  <c r="O3" i="3" s="1"/>
  <c r="O3" i="2" a="1"/>
  <c r="O3" i="2" s="1"/>
  <c r="O3" i="1" a="1"/>
  <c r="O3" i="1" s="1"/>
  <c r="P39" i="3" a="1"/>
  <c r="P39" i="3" s="1"/>
  <c r="P38" i="3" a="1"/>
  <c r="P38" i="3" s="1"/>
  <c r="P3" i="3" a="1"/>
  <c r="P3" i="3" s="1"/>
  <c r="P3" i="2" a="1"/>
  <c r="P3" i="2" s="1"/>
  <c r="P3" i="1" a="1"/>
  <c r="P3" i="1" s="1"/>
  <c r="O25" i="1" a="1"/>
  <c r="O25" i="1" s="1"/>
  <c r="P45" i="3" a="1"/>
  <c r="P45" i="3" s="1"/>
  <c r="P51" i="2" a="1"/>
  <c r="P51" i="2" s="1"/>
  <c r="P51" i="1" a="1"/>
  <c r="P51" i="1" s="1"/>
  <c r="P26" i="3" a="1"/>
  <c r="P26" i="3" s="1"/>
  <c r="P36" i="2" a="1"/>
  <c r="P36" i="2" s="1"/>
  <c r="P43" i="1" a="1"/>
  <c r="P43" i="1" s="1"/>
  <c r="N32" i="1" a="1"/>
  <c r="N32" i="1" s="1"/>
  <c r="M34" i="3" a="1"/>
  <c r="M34" i="3" s="1"/>
  <c r="M44" i="2" a="1"/>
  <c r="M44" i="2" s="1"/>
  <c r="N39" i="3" a="1"/>
  <c r="N39" i="3" s="1"/>
  <c r="N38" i="3" a="1"/>
  <c r="N38" i="3" s="1"/>
  <c r="N3" i="3" a="1"/>
  <c r="N3" i="3" s="1"/>
  <c r="N3" i="2" a="1"/>
  <c r="N3" i="2" s="1"/>
  <c r="N3" i="1" a="1"/>
  <c r="N3" i="1" s="1"/>
  <c r="K8" i="3" a="1"/>
  <c r="K8" i="3" s="1"/>
  <c r="K8" i="2" a="1"/>
  <c r="K8" i="2" s="1"/>
  <c r="K8" i="1" a="1"/>
  <c r="K8" i="1" s="1"/>
  <c r="L50" i="3" a="1"/>
  <c r="L50" i="3" s="1"/>
  <c r="M45" i="3" a="1"/>
  <c r="M45" i="3" s="1"/>
  <c r="M51" i="2" a="1"/>
  <c r="M51" i="2" s="1"/>
  <c r="M51" i="1" a="1"/>
  <c r="M51" i="1" s="1"/>
  <c r="N26" i="3" a="1"/>
  <c r="N26" i="3" s="1"/>
  <c r="N36" i="2" a="1"/>
  <c r="N36" i="2" s="1"/>
  <c r="N43" i="1" a="1"/>
  <c r="N43" i="1" s="1"/>
  <c r="M26" i="3" a="1"/>
  <c r="M26" i="3" s="1"/>
  <c r="M36" i="2" a="1"/>
  <c r="M36" i="2" s="1"/>
  <c r="M43" i="1" a="1"/>
  <c r="M43" i="1" s="1"/>
  <c r="O35" i="3" a="1"/>
  <c r="O35" i="3" s="1"/>
  <c r="L32" i="1" a="1"/>
  <c r="L32" i="1" s="1"/>
  <c r="K32" i="1" a="1"/>
  <c r="K32" i="1" s="1"/>
  <c r="O32" i="1" a="1"/>
  <c r="O32" i="1" s="1"/>
  <c r="L35" i="3" a="1"/>
  <c r="L35" i="3" s="1"/>
  <c r="K45" i="3" a="1"/>
  <c r="K45" i="3" s="1"/>
  <c r="K51" i="2" a="1"/>
  <c r="K51" i="2" s="1"/>
  <c r="K51" i="1" a="1"/>
  <c r="K51" i="1" s="1"/>
  <c r="N45" i="3" a="1"/>
  <c r="N45" i="3" s="1"/>
  <c r="N51" i="2" a="1"/>
  <c r="N51" i="2" s="1"/>
  <c r="N51" i="1" a="1"/>
  <c r="N51" i="1" s="1"/>
  <c r="M14" i="3" a="1"/>
  <c r="M14" i="3" s="1"/>
  <c r="M13" i="3" a="1"/>
  <c r="M13" i="3" s="1"/>
  <c r="M13" i="2" a="1"/>
  <c r="M13" i="2" s="1"/>
  <c r="M13" i="1" a="1"/>
  <c r="M13" i="1" s="1"/>
  <c r="M50" i="3" a="1"/>
  <c r="M50" i="3" s="1"/>
  <c r="N25" i="1" a="1"/>
  <c r="N25" i="1" s="1"/>
  <c r="O34" i="3" a="1"/>
  <c r="O34" i="3" s="1"/>
  <c r="O44" i="2" a="1"/>
  <c r="O44" i="2" s="1"/>
  <c r="L34" i="3" a="1"/>
  <c r="L34" i="3" s="1"/>
  <c r="L44" i="2" a="1"/>
  <c r="L44" i="2" s="1"/>
  <c r="K50" i="3" a="1"/>
  <c r="K50" i="3" s="1"/>
  <c r="M32" i="1" a="1"/>
  <c r="M32" i="1" s="1"/>
  <c r="L25" i="1" a="1"/>
  <c r="L25" i="1" s="1"/>
  <c r="P50" i="3" a="1"/>
  <c r="P50" i="3" s="1"/>
  <c r="K25" i="1" a="1"/>
  <c r="K25" i="1" s="1"/>
  <c r="O14" i="3" a="1"/>
  <c r="O14" i="3" s="1"/>
  <c r="O13" i="3" a="1"/>
  <c r="O13" i="3" s="1"/>
  <c r="O13" i="2" a="1"/>
  <c r="O13" i="2" s="1"/>
  <c r="O13" i="1" a="1"/>
  <c r="O13" i="1" s="1"/>
  <c r="K26" i="3" a="1"/>
  <c r="K26" i="3" s="1"/>
  <c r="K36" i="2" a="1"/>
  <c r="K36" i="2" s="1"/>
  <c r="K43" i="1" a="1"/>
  <c r="K43" i="1" s="1"/>
  <c r="M39" i="3" a="1"/>
  <c r="M39" i="3" s="1"/>
  <c r="M38" i="3" a="1"/>
  <c r="M38" i="3" s="1"/>
  <c r="M3" i="3" a="1"/>
  <c r="M3" i="3" s="1"/>
  <c r="M3" i="2" a="1"/>
  <c r="M3" i="2" s="1"/>
  <c r="M3" i="1" a="1"/>
  <c r="M3" i="1" s="1"/>
  <c r="P35" i="3" a="1"/>
  <c r="P35" i="3" s="1"/>
  <c r="K14" i="3" a="1"/>
  <c r="K14" i="3" s="1"/>
  <c r="K13" i="3" a="1"/>
  <c r="K13" i="3" s="1"/>
  <c r="K13" i="2" a="1"/>
  <c r="K13" i="2" s="1"/>
  <c r="K13" i="1" a="1"/>
  <c r="K13" i="1" s="1"/>
  <c r="M25" i="1" a="1"/>
  <c r="M25" i="1" s="1"/>
  <c r="L39" i="3" a="1"/>
  <c r="L39" i="3" s="1"/>
  <c r="L38" i="3" a="1"/>
  <c r="L38" i="3" s="1"/>
  <c r="L3" i="3" a="1"/>
  <c r="L3" i="3" s="1"/>
  <c r="L3" i="2" a="1"/>
  <c r="L3" i="2" s="1"/>
  <c r="L3" i="1" a="1"/>
  <c r="L3" i="1" s="1"/>
  <c r="N34" i="3" a="1"/>
  <c r="N34" i="3" s="1"/>
  <c r="N44" i="2" a="1"/>
  <c r="N44" i="2" s="1"/>
  <c r="N14" i="3" a="1"/>
  <c r="N14" i="3" s="1"/>
  <c r="N13" i="3" a="1"/>
  <c r="N13" i="3" s="1"/>
  <c r="N13" i="2" a="1"/>
  <c r="N13" i="2" s="1"/>
  <c r="N13" i="1" a="1"/>
  <c r="N13" i="1" s="1"/>
  <c r="P25" i="1" a="1"/>
  <c r="P25" i="1" s="1"/>
  <c r="K34" i="3" a="1"/>
  <c r="K34" i="3" s="1"/>
  <c r="K44" i="2" a="1"/>
  <c r="K44" i="2" s="1"/>
  <c r="N50" i="3" a="1"/>
  <c r="N50" i="3" s="1"/>
  <c r="K39" i="3" a="1"/>
  <c r="K39" i="3" s="1"/>
  <c r="K38" i="3" a="1"/>
  <c r="K38" i="3" s="1"/>
  <c r="K3" i="3" a="1"/>
  <c r="K3" i="3" s="1"/>
  <c r="K3" i="2" a="1"/>
  <c r="K3" i="2" s="1"/>
  <c r="K3" i="1" a="1"/>
  <c r="K3" i="1" s="1"/>
  <c r="P8" i="3" a="1"/>
  <c r="P8" i="3" s="1"/>
  <c r="P8" i="2" a="1"/>
  <c r="P8" i="2" s="1"/>
  <c r="P8" i="1" a="1"/>
  <c r="P8" i="1" s="1"/>
  <c r="N35" i="3" a="1"/>
  <c r="N35" i="3" s="1"/>
  <c r="P32" i="1" a="1"/>
  <c r="P32" i="1" s="1"/>
  <c r="O26" i="3" a="1"/>
  <c r="O26" i="3" s="1"/>
  <c r="O36" i="2" a="1"/>
  <c r="O36" i="2" s="1"/>
  <c r="O43" i="1" a="1"/>
  <c r="O43" i="1" s="1"/>
  <c r="O45" i="3" a="1"/>
  <c r="O45" i="3" s="1"/>
  <c r="O51" i="2" a="1"/>
  <c r="O51" i="2" s="1"/>
  <c r="O51" i="1" a="1"/>
  <c r="O51" i="1" s="1"/>
  <c r="P7" i="3" a="1"/>
  <c r="P7" i="3" s="1"/>
  <c r="P7" i="2" a="1"/>
  <c r="P7" i="2" s="1"/>
  <c r="P7" i="1" a="1"/>
  <c r="P7" i="1" s="1"/>
  <c r="P16" i="3" a="1"/>
  <c r="P16" i="3" s="1"/>
  <c r="P17" i="2" a="1"/>
  <c r="P17" i="2" s="1"/>
  <c r="P17" i="1" a="1"/>
  <c r="P17" i="1" s="1"/>
  <c r="K41" i="3" a="1"/>
  <c r="K41" i="3" s="1"/>
  <c r="K48" i="2" a="1"/>
  <c r="K48" i="2" s="1"/>
  <c r="K22" i="3" a="1"/>
  <c r="K22" i="3" s="1"/>
  <c r="K32" i="2" a="1"/>
  <c r="K32" i="2" s="1"/>
  <c r="P22" i="3" a="1"/>
  <c r="P22" i="3" s="1"/>
  <c r="P32" i="2" a="1"/>
  <c r="P32" i="2" s="1"/>
  <c r="L41" i="3" a="1"/>
  <c r="L41" i="3" s="1"/>
  <c r="L48" i="2" a="1"/>
  <c r="L48" i="2" s="1"/>
  <c r="K24" i="3" a="1"/>
  <c r="K24" i="3" s="1"/>
  <c r="K34" i="2" a="1"/>
  <c r="K34" i="2" s="1"/>
  <c r="K42" i="1" a="1"/>
  <c r="K42" i="1" s="1"/>
  <c r="L24" i="3" a="1"/>
  <c r="L24" i="3" s="1"/>
  <c r="L34" i="2" a="1"/>
  <c r="L34" i="2" s="1"/>
  <c r="L42" i="1" a="1"/>
  <c r="L42" i="1" s="1"/>
  <c r="K20" i="2" a="1"/>
  <c r="K20" i="2" s="1"/>
  <c r="K20" i="1" a="1"/>
  <c r="K20" i="1" s="1"/>
  <c r="P24" i="3" a="1"/>
  <c r="P24" i="3" s="1"/>
  <c r="P34" i="2" a="1"/>
  <c r="P34" i="2" s="1"/>
  <c r="P42" i="1" a="1"/>
  <c r="P42" i="1" s="1"/>
  <c r="N24" i="1" a="1"/>
  <c r="N24" i="1" s="1"/>
  <c r="M16" i="3" a="1"/>
  <c r="M16" i="3" s="1"/>
  <c r="M17" i="2" a="1"/>
  <c r="M17" i="2" s="1"/>
  <c r="M17" i="1" a="1"/>
  <c r="M17" i="1" s="1"/>
  <c r="L15" i="3" a="1"/>
  <c r="L15" i="3" s="1"/>
  <c r="L15" i="2" a="1"/>
  <c r="L15" i="2" s="1"/>
  <c r="L15" i="1" a="1"/>
  <c r="L15" i="1" s="1"/>
  <c r="O15" i="3" a="1"/>
  <c r="O15" i="3" s="1"/>
  <c r="O15" i="2" a="1"/>
  <c r="O15" i="2" s="1"/>
  <c r="O15" i="1" a="1"/>
  <c r="O15" i="1" s="1"/>
  <c r="L20" i="2" a="1"/>
  <c r="L20" i="2" s="1"/>
  <c r="L20" i="1" a="1"/>
  <c r="L20" i="1" s="1"/>
  <c r="P30" i="3" a="1"/>
  <c r="P30" i="3" s="1"/>
  <c r="P40" i="2" a="1"/>
  <c r="P40" i="2" s="1"/>
  <c r="O24" i="3" a="1"/>
  <c r="O24" i="3" s="1"/>
  <c r="O34" i="2" a="1"/>
  <c r="O34" i="2" s="1"/>
  <c r="O42" i="1" a="1"/>
  <c r="O42" i="1" s="1"/>
  <c r="P15" i="3" a="1"/>
  <c r="P15" i="3" s="1"/>
  <c r="P15" i="2" a="1"/>
  <c r="P15" i="2" s="1"/>
  <c r="P15" i="1" a="1"/>
  <c r="P15" i="1" s="1"/>
  <c r="L16" i="3" a="1"/>
  <c r="L16" i="3" s="1"/>
  <c r="L17" i="2" a="1"/>
  <c r="L17" i="2" s="1"/>
  <c r="L17" i="1" a="1"/>
  <c r="L17" i="1" s="1"/>
  <c r="P18" i="2" a="1"/>
  <c r="P18" i="2" s="1"/>
  <c r="P18" i="1" a="1"/>
  <c r="P18" i="1" s="1"/>
  <c r="M24" i="1" a="1"/>
  <c r="M24" i="1" s="1"/>
  <c r="M30" i="3" a="1"/>
  <c r="M30" i="3" s="1"/>
  <c r="M40" i="2" a="1"/>
  <c r="M40" i="2" s="1"/>
  <c r="O30" i="3" a="1"/>
  <c r="O30" i="3" s="1"/>
  <c r="O40" i="2" a="1"/>
  <c r="O40" i="2" s="1"/>
  <c r="O18" i="2" a="1"/>
  <c r="O18" i="2" s="1"/>
  <c r="O18" i="1" a="1"/>
  <c r="O18" i="1" s="1"/>
  <c r="M24" i="3" a="1"/>
  <c r="M24" i="3" s="1"/>
  <c r="M34" i="2" a="1"/>
  <c r="M34" i="2" s="1"/>
  <c r="M42" i="1" a="1"/>
  <c r="M42" i="1" s="1"/>
  <c r="P24" i="1" a="1"/>
  <c r="P24" i="1" s="1"/>
  <c r="O7" i="3" a="1"/>
  <c r="O7" i="3" s="1"/>
  <c r="O7" i="2" a="1"/>
  <c r="O7" i="2" s="1"/>
  <c r="O7" i="1" a="1"/>
  <c r="O7" i="1" s="1"/>
  <c r="K30" i="3" a="1"/>
  <c r="K30" i="3" s="1"/>
  <c r="K40" i="2" a="1"/>
  <c r="K40" i="2" s="1"/>
  <c r="O20" i="2" a="1"/>
  <c r="O20" i="2" s="1"/>
  <c r="O20" i="1" a="1"/>
  <c r="O20" i="1" s="1"/>
  <c r="N22" i="3" a="1"/>
  <c r="N22" i="3" s="1"/>
  <c r="N32" i="2" a="1"/>
  <c r="N32" i="2" s="1"/>
  <c r="L22" i="3" a="1"/>
  <c r="L22" i="3" s="1"/>
  <c r="L32" i="2" a="1"/>
  <c r="L32" i="2" s="1"/>
  <c r="K18" i="2" a="1"/>
  <c r="K18" i="2" s="1"/>
  <c r="K18" i="1" a="1"/>
  <c r="K18" i="1" s="1"/>
  <c r="K7" i="3" a="1"/>
  <c r="K7" i="3" s="1"/>
  <c r="K7" i="2" a="1"/>
  <c r="K7" i="2" s="1"/>
  <c r="K7" i="1" a="1"/>
  <c r="K7" i="1" s="1"/>
  <c r="N41" i="3" a="1"/>
  <c r="N41" i="3" s="1"/>
  <c r="N48" i="2" a="1"/>
  <c r="N48" i="2" s="1"/>
  <c r="M18" i="2" a="1"/>
  <c r="M18" i="2" s="1"/>
  <c r="M18" i="1" a="1"/>
  <c r="M18" i="1" s="1"/>
  <c r="L18" i="2" a="1"/>
  <c r="L18" i="2" s="1"/>
  <c r="L18" i="1" a="1"/>
  <c r="L18" i="1" s="1"/>
  <c r="L7" i="3" a="1"/>
  <c r="L7" i="3" s="1"/>
  <c r="L7" i="2" a="1"/>
  <c r="L7" i="2" s="1"/>
  <c r="L7" i="1" a="1"/>
  <c r="L7" i="1" s="1"/>
  <c r="M15" i="3" a="1"/>
  <c r="M15" i="3" s="1"/>
  <c r="M15" i="2" a="1"/>
  <c r="M15" i="2" s="1"/>
  <c r="M15" i="1" a="1"/>
  <c r="M15" i="1" s="1"/>
  <c r="O41" i="3" a="1"/>
  <c r="O41" i="3" s="1"/>
  <c r="O48" i="2" a="1"/>
  <c r="O48" i="2" s="1"/>
  <c r="O16" i="3" a="1"/>
  <c r="O16" i="3" s="1"/>
  <c r="O17" i="2" a="1"/>
  <c r="O17" i="2" s="1"/>
  <c r="O17" i="1" a="1"/>
  <c r="O17" i="1" s="1"/>
  <c r="N16" i="3" a="1"/>
  <c r="N16" i="3" s="1"/>
  <c r="N17" i="2" a="1"/>
  <c r="N17" i="2" s="1"/>
  <c r="N17" i="1" a="1"/>
  <c r="N17" i="1" s="1"/>
  <c r="N20" i="2" a="1"/>
  <c r="N20" i="2" s="1"/>
  <c r="N20" i="1" a="1"/>
  <c r="N20" i="1" s="1"/>
  <c r="K15" i="3" a="1"/>
  <c r="K15" i="3" s="1"/>
  <c r="K15" i="2" a="1"/>
  <c r="K15" i="2" s="1"/>
  <c r="K15" i="1" a="1"/>
  <c r="K15" i="1" s="1"/>
  <c r="M20" i="2" a="1"/>
  <c r="M20" i="2" s="1"/>
  <c r="M20" i="1" a="1"/>
  <c r="M20" i="1" s="1"/>
  <c r="O22" i="3" a="1"/>
  <c r="O22" i="3" s="1"/>
  <c r="O32" i="2" a="1"/>
  <c r="O32" i="2" s="1"/>
  <c r="P41" i="3" a="1"/>
  <c r="P41" i="3" s="1"/>
  <c r="P48" i="2" a="1"/>
  <c r="P48" i="2" s="1"/>
  <c r="N30" i="3" a="1"/>
  <c r="N30" i="3" s="1"/>
  <c r="N40" i="2" a="1"/>
  <c r="N40" i="2" s="1"/>
  <c r="L24" i="1" a="1"/>
  <c r="L24" i="1" s="1"/>
  <c r="N7" i="3" a="1"/>
  <c r="N7" i="3" s="1"/>
  <c r="N7" i="2" a="1"/>
  <c r="N7" i="2" s="1"/>
  <c r="N7" i="1" a="1"/>
  <c r="N7" i="1" s="1"/>
  <c r="O24" i="1" a="1"/>
  <c r="O24" i="1" s="1"/>
  <c r="K24" i="1" a="1"/>
  <c r="K24" i="1" s="1"/>
  <c r="M41" i="3" a="1"/>
  <c r="M41" i="3" s="1"/>
  <c r="M48" i="2" a="1"/>
  <c r="M48" i="2" s="1"/>
  <c r="K16" i="3" a="1"/>
  <c r="K16" i="3" s="1"/>
  <c r="K17" i="2" a="1"/>
  <c r="K17" i="2" s="1"/>
  <c r="K17" i="1" a="1"/>
  <c r="K17" i="1" s="1"/>
  <c r="L30" i="3" a="1"/>
  <c r="L30" i="3" s="1"/>
  <c r="L40" i="2" a="1"/>
  <c r="L40" i="2" s="1"/>
  <c r="P20" i="2" a="1"/>
  <c r="P20" i="2" s="1"/>
  <c r="P20" i="1" a="1"/>
  <c r="P20" i="1" s="1"/>
  <c r="N24" i="3" a="1"/>
  <c r="N24" i="3" s="1"/>
  <c r="N34" i="2" a="1"/>
  <c r="N34" i="2" s="1"/>
  <c r="N42" i="1" a="1"/>
  <c r="N42" i="1" s="1"/>
  <c r="N18" i="2" a="1"/>
  <c r="N18" i="2" s="1"/>
  <c r="N18" i="1" a="1"/>
  <c r="N18" i="1" s="1"/>
  <c r="M7" i="3" a="1"/>
  <c r="M7" i="3" s="1"/>
  <c r="M7" i="2" a="1"/>
  <c r="M7" i="2" s="1"/>
  <c r="M7" i="1" a="1"/>
  <c r="M7" i="1" s="1"/>
  <c r="N15" i="3" a="1"/>
  <c r="N15" i="3" s="1"/>
  <c r="N15" i="2" a="1"/>
  <c r="N15" i="2" s="1"/>
  <c r="N15" i="1" a="1"/>
  <c r="N15" i="1" s="1"/>
  <c r="M22" i="3" a="1"/>
  <c r="M22" i="3" s="1"/>
  <c r="M32" i="2" a="1"/>
  <c r="M32" i="2" s="1"/>
  <c r="M10" i="3" a="1"/>
  <c r="M10" i="3" s="1"/>
  <c r="M10" i="2" a="1"/>
  <c r="M10" i="2" s="1"/>
  <c r="M10" i="1" a="1"/>
  <c r="M10" i="1" s="1"/>
  <c r="N20" i="3" a="1"/>
  <c r="N20" i="3" s="1"/>
  <c r="N30" i="2" a="1"/>
  <c r="N30" i="2" s="1"/>
  <c r="L10" i="3" a="1"/>
  <c r="L10" i="3" s="1"/>
  <c r="L10" i="2" a="1"/>
  <c r="L10" i="2" s="1"/>
  <c r="L10" i="1" a="1"/>
  <c r="L10" i="1" s="1"/>
  <c r="L31" i="3" a="1"/>
  <c r="L31" i="3" s="1"/>
  <c r="L41" i="2" a="1"/>
  <c r="L41" i="2" s="1"/>
  <c r="M31" i="3" a="1"/>
  <c r="M31" i="3" s="1"/>
  <c r="M41" i="2" a="1"/>
  <c r="M41" i="2" s="1"/>
  <c r="K31" i="3" a="1"/>
  <c r="K31" i="3" s="1"/>
  <c r="K41" i="2" a="1"/>
  <c r="K41" i="2" s="1"/>
  <c r="K19" i="2" a="1"/>
  <c r="K19" i="2" s="1"/>
  <c r="K19" i="1" a="1"/>
  <c r="K19" i="1" s="1"/>
  <c r="P22" i="2" a="1"/>
  <c r="P22" i="2" s="1"/>
  <c r="P22" i="1" a="1"/>
  <c r="P22" i="1" s="1"/>
  <c r="O26" i="1" a="1"/>
  <c r="O26" i="1" s="1"/>
  <c r="N19" i="2" a="1"/>
  <c r="N19" i="2" s="1"/>
  <c r="N19" i="1" a="1"/>
  <c r="N19" i="1" s="1"/>
  <c r="O10" i="3" a="1"/>
  <c r="O10" i="3" s="1"/>
  <c r="O10" i="2" a="1"/>
  <c r="O10" i="2" s="1"/>
  <c r="O10" i="1" a="1"/>
  <c r="O10" i="1" s="1"/>
  <c r="K22" i="2" a="1"/>
  <c r="K22" i="2" s="1"/>
  <c r="K22" i="1" a="1"/>
  <c r="K22" i="1" s="1"/>
  <c r="P20" i="3" a="1"/>
  <c r="P20" i="3" s="1"/>
  <c r="P30" i="2" a="1"/>
  <c r="P30" i="2" s="1"/>
  <c r="K29" i="1" a="1"/>
  <c r="K29" i="1" s="1"/>
  <c r="L29" i="1" a="1"/>
  <c r="L29" i="1" s="1"/>
  <c r="O31" i="3" a="1"/>
  <c r="O31" i="3" s="1"/>
  <c r="O41" i="2" a="1"/>
  <c r="O41" i="2" s="1"/>
  <c r="N26" i="1" a="1"/>
  <c r="N26" i="1" s="1"/>
  <c r="M29" i="1" a="1"/>
  <c r="M29" i="1" s="1"/>
  <c r="O19" i="2" a="1"/>
  <c r="O19" i="2" s="1"/>
  <c r="O19" i="1" a="1"/>
  <c r="O19" i="1" s="1"/>
  <c r="P29" i="1" a="1"/>
  <c r="P29" i="1" s="1"/>
  <c r="L26" i="1" a="1"/>
  <c r="L26" i="1" s="1"/>
  <c r="M22" i="2" a="1"/>
  <c r="M22" i="2" s="1"/>
  <c r="M22" i="1" a="1"/>
  <c r="M22" i="1" s="1"/>
  <c r="L20" i="3" a="1"/>
  <c r="L20" i="3" s="1"/>
  <c r="L30" i="2" a="1"/>
  <c r="L30" i="2" s="1"/>
  <c r="N10" i="3" a="1"/>
  <c r="N10" i="3" s="1"/>
  <c r="N10" i="2" a="1"/>
  <c r="N10" i="2" s="1"/>
  <c r="N10" i="1" a="1"/>
  <c r="N10" i="1" s="1"/>
  <c r="O29" i="1" a="1"/>
  <c r="O29" i="1" s="1"/>
  <c r="N22" i="2" a="1"/>
  <c r="N22" i="2" s="1"/>
  <c r="N22" i="1" a="1"/>
  <c r="N22" i="1" s="1"/>
  <c r="O22" i="2" a="1"/>
  <c r="O22" i="2" s="1"/>
  <c r="O22" i="1" a="1"/>
  <c r="O22" i="1" s="1"/>
  <c r="M19" i="2" a="1"/>
  <c r="M19" i="2" s="1"/>
  <c r="M19" i="1" a="1"/>
  <c r="M19" i="1" s="1"/>
  <c r="O20" i="3" a="1"/>
  <c r="O20" i="3" s="1"/>
  <c r="O30" i="2" a="1"/>
  <c r="O30" i="2" s="1"/>
  <c r="L22" i="2" a="1"/>
  <c r="L22" i="2" s="1"/>
  <c r="L22" i="1" a="1"/>
  <c r="L22" i="1" s="1"/>
  <c r="K26" i="1" a="1"/>
  <c r="K26" i="1" s="1"/>
  <c r="N29" i="1" a="1"/>
  <c r="N29" i="1" s="1"/>
  <c r="P26" i="1" a="1"/>
  <c r="P26" i="1" s="1"/>
  <c r="P19" i="2" a="1"/>
  <c r="P19" i="2" s="1"/>
  <c r="P19" i="1" a="1"/>
  <c r="P19" i="1" s="1"/>
  <c r="M20" i="3" a="1"/>
  <c r="M20" i="3" s="1"/>
  <c r="M30" i="2" a="1"/>
  <c r="M30" i="2" s="1"/>
  <c r="M26" i="1" a="1"/>
  <c r="M26" i="1" s="1"/>
  <c r="L19" i="2" a="1"/>
  <c r="L19" i="2" s="1"/>
  <c r="L19" i="1" a="1"/>
  <c r="L19" i="1" s="1"/>
  <c r="P10" i="3" a="1"/>
  <c r="P10" i="3" s="1"/>
  <c r="P10" i="2" a="1"/>
  <c r="P10" i="2" s="1"/>
  <c r="P10" i="1" a="1"/>
  <c r="P10" i="1" s="1"/>
  <c r="K10" i="3" a="1"/>
  <c r="K10" i="3" s="1"/>
  <c r="K10" i="2" a="1"/>
  <c r="K10" i="2" s="1"/>
  <c r="K10" i="1" a="1"/>
  <c r="K10" i="1" s="1"/>
  <c r="P31" i="3" a="1"/>
  <c r="P31" i="3" s="1"/>
  <c r="P41" i="2" a="1"/>
  <c r="P41" i="2" s="1"/>
  <c r="K20" i="3" a="1"/>
  <c r="K20" i="3" s="1"/>
  <c r="K30" i="2" a="1"/>
  <c r="K30" i="2" s="1"/>
  <c r="N31" i="3" a="1"/>
  <c r="N31" i="3" s="1"/>
  <c r="N41" i="2" a="1"/>
  <c r="N41" i="2" s="1"/>
  <c r="N25" i="2" a="1"/>
  <c r="N25" i="2" s="1"/>
  <c r="N33" i="1" a="1"/>
  <c r="N33" i="1" s="1"/>
  <c r="P47" i="3" a="1"/>
  <c r="P47" i="3" s="1"/>
  <c r="P36" i="1" a="1"/>
  <c r="P36" i="1" s="1"/>
  <c r="P25" i="2" a="1"/>
  <c r="P25" i="2" s="1"/>
  <c r="P33" i="1" a="1"/>
  <c r="P33" i="1" s="1"/>
  <c r="M23" i="3" a="1"/>
  <c r="M23" i="3" s="1"/>
  <c r="M33" i="2" a="1"/>
  <c r="M33" i="2" s="1"/>
  <c r="M41" i="1" a="1"/>
  <c r="M41" i="1" s="1"/>
  <c r="P16" i="2" a="1"/>
  <c r="P16" i="2" s="1"/>
  <c r="P16" i="1" a="1"/>
  <c r="P16" i="1" s="1"/>
  <c r="P11" i="3" a="1"/>
  <c r="P11" i="3" s="1"/>
  <c r="P11" i="2" a="1"/>
  <c r="P11" i="2" s="1"/>
  <c r="P11" i="1" a="1"/>
  <c r="P11" i="1" s="1"/>
  <c r="M25" i="2" a="1"/>
  <c r="M25" i="2" s="1"/>
  <c r="M33" i="1" a="1"/>
  <c r="M33" i="1" s="1"/>
  <c r="M42" i="3" a="1"/>
  <c r="M42" i="3" s="1"/>
  <c r="M49" i="3" a="1"/>
  <c r="M49" i="3" s="1"/>
  <c r="P49" i="3" a="1"/>
  <c r="P49" i="3" s="1"/>
  <c r="N42" i="3" a="1"/>
  <c r="N42" i="3" s="1"/>
  <c r="O23" i="3" a="1"/>
  <c r="O23" i="3" s="1"/>
  <c r="O33" i="2" a="1"/>
  <c r="O33" i="2" s="1"/>
  <c r="O41" i="1" a="1"/>
  <c r="O41" i="1" s="1"/>
  <c r="L9" i="3" a="1"/>
  <c r="L9" i="3" s="1"/>
  <c r="L9" i="2" a="1"/>
  <c r="L9" i="2" s="1"/>
  <c r="L9" i="1" a="1"/>
  <c r="L9" i="1" s="1"/>
  <c r="N47" i="3" a="1"/>
  <c r="N47" i="3" s="1"/>
  <c r="N36" i="1" a="1"/>
  <c r="N36" i="1" s="1"/>
  <c r="O9" i="3" a="1"/>
  <c r="O9" i="3" s="1"/>
  <c r="O9" i="2" a="1"/>
  <c r="O9" i="2" s="1"/>
  <c r="O9" i="1" a="1"/>
  <c r="O9" i="1" s="1"/>
  <c r="M47" i="3" a="1"/>
  <c r="M47" i="3" s="1"/>
  <c r="M36" i="1" a="1"/>
  <c r="M36" i="1" s="1"/>
  <c r="N49" i="3" a="1"/>
  <c r="N49" i="3" s="1"/>
  <c r="K9" i="3" a="1"/>
  <c r="K9" i="3" s="1"/>
  <c r="K9" i="2" a="1"/>
  <c r="K9" i="2" s="1"/>
  <c r="K9" i="1" a="1"/>
  <c r="K9" i="1" s="1"/>
  <c r="N23" i="3" a="1"/>
  <c r="N23" i="3" s="1"/>
  <c r="N33" i="2" a="1"/>
  <c r="N33" i="2" s="1"/>
  <c r="N41" i="1" a="1"/>
  <c r="N41" i="1" s="1"/>
  <c r="P23" i="3" a="1"/>
  <c r="P23" i="3" s="1"/>
  <c r="P33" i="2" a="1"/>
  <c r="P33" i="2" s="1"/>
  <c r="P41" i="1" a="1"/>
  <c r="P41" i="1" s="1"/>
  <c r="M21" i="2" a="1"/>
  <c r="M21" i="2" s="1"/>
  <c r="M21" i="1" a="1"/>
  <c r="M21" i="1" s="1"/>
  <c r="L21" i="2" a="1"/>
  <c r="L21" i="2" s="1"/>
  <c r="L21" i="1" a="1"/>
  <c r="L21" i="1" s="1"/>
  <c r="K11" i="3" a="1"/>
  <c r="K11" i="3" s="1"/>
  <c r="K11" i="2" a="1"/>
  <c r="K11" i="2" s="1"/>
  <c r="K11" i="1" a="1"/>
  <c r="K11" i="1" s="1"/>
  <c r="K23" i="3" a="1"/>
  <c r="K23" i="3" s="1"/>
  <c r="K33" i="2" a="1"/>
  <c r="K33" i="2" s="1"/>
  <c r="K41" i="1" a="1"/>
  <c r="K41" i="1" s="1"/>
  <c r="P9" i="3" a="1"/>
  <c r="P9" i="3" s="1"/>
  <c r="P9" i="2" a="1"/>
  <c r="P9" i="2" s="1"/>
  <c r="P9" i="1" a="1"/>
  <c r="P9" i="1" s="1"/>
  <c r="O16" i="2" a="1"/>
  <c r="O16" i="2" s="1"/>
  <c r="O16" i="1" a="1"/>
  <c r="O16" i="1" s="1"/>
  <c r="L11" i="3" a="1"/>
  <c r="L11" i="3" s="1"/>
  <c r="L11" i="2" a="1"/>
  <c r="L11" i="2" s="1"/>
  <c r="L11" i="1" a="1"/>
  <c r="L11" i="1" s="1"/>
  <c r="O42" i="3" a="1"/>
  <c r="O42" i="3" s="1"/>
  <c r="M16" i="2" a="1"/>
  <c r="M16" i="2" s="1"/>
  <c r="M16" i="1" a="1"/>
  <c r="M16" i="1" s="1"/>
  <c r="N21" i="2" a="1"/>
  <c r="N21" i="2" s="1"/>
  <c r="N21" i="1" a="1"/>
  <c r="N21" i="1" s="1"/>
  <c r="O11" i="3" a="1"/>
  <c r="O11" i="3" s="1"/>
  <c r="O11" i="2" a="1"/>
  <c r="O11" i="2" s="1"/>
  <c r="O11" i="1" a="1"/>
  <c r="O11" i="1" s="1"/>
  <c r="L21" i="3" a="1"/>
  <c r="L21" i="3" s="1"/>
  <c r="L31" i="2" a="1"/>
  <c r="L31" i="2" s="1"/>
  <c r="L40" i="1" a="1"/>
  <c r="L40" i="1" s="1"/>
  <c r="K16" i="2" a="1"/>
  <c r="K16" i="2" s="1"/>
  <c r="K16" i="1" a="1"/>
  <c r="K16" i="1" s="1"/>
  <c r="M9" i="3" a="1"/>
  <c r="M9" i="3" s="1"/>
  <c r="M9" i="2" a="1"/>
  <c r="M9" i="2" s="1"/>
  <c r="M9" i="1" a="1"/>
  <c r="M9" i="1" s="1"/>
  <c r="K21" i="3" a="1"/>
  <c r="K21" i="3" s="1"/>
  <c r="K31" i="2" a="1"/>
  <c r="K31" i="2" s="1"/>
  <c r="K40" i="1" a="1"/>
  <c r="K40" i="1" s="1"/>
  <c r="L47" i="3" a="1"/>
  <c r="L47" i="3" s="1"/>
  <c r="L36" i="1" a="1"/>
  <c r="L36" i="1" s="1"/>
  <c r="K25" i="2" a="1"/>
  <c r="K25" i="2" s="1"/>
  <c r="K33" i="1" a="1"/>
  <c r="K33" i="1" s="1"/>
  <c r="P21" i="3" a="1"/>
  <c r="P21" i="3" s="1"/>
  <c r="P31" i="2" a="1"/>
  <c r="P31" i="2" s="1"/>
  <c r="P40" i="1" a="1"/>
  <c r="P40" i="1" s="1"/>
  <c r="N21" i="3" a="1"/>
  <c r="N21" i="3" s="1"/>
  <c r="N31" i="2" a="1"/>
  <c r="N31" i="2" s="1"/>
  <c r="N40" i="1" a="1"/>
  <c r="N40" i="1" s="1"/>
  <c r="P21" i="2" a="1"/>
  <c r="P21" i="2" s="1"/>
  <c r="P21" i="1" a="1"/>
  <c r="P21" i="1" s="1"/>
  <c r="P42" i="3" a="1"/>
  <c r="P42" i="3" s="1"/>
  <c r="K42" i="3" a="1"/>
  <c r="K42" i="3" s="1"/>
  <c r="K49" i="3" a="1"/>
  <c r="K49" i="3" s="1"/>
  <c r="K21" i="2" a="1"/>
  <c r="K21" i="2" s="1"/>
  <c r="K21" i="1" a="1"/>
  <c r="K21" i="1" s="1"/>
  <c r="K47" i="3" a="1"/>
  <c r="K47" i="3" s="1"/>
  <c r="K36" i="1" a="1"/>
  <c r="K36" i="1" s="1"/>
  <c r="M21" i="3" a="1"/>
  <c r="M21" i="3" s="1"/>
  <c r="M31" i="2" a="1"/>
  <c r="M31" i="2" s="1"/>
  <c r="M40" i="1" a="1"/>
  <c r="M40" i="1" s="1"/>
  <c r="M11" i="3" a="1"/>
  <c r="M11" i="3" s="1"/>
  <c r="M11" i="2" a="1"/>
  <c r="M11" i="2" s="1"/>
  <c r="M11" i="1" a="1"/>
  <c r="M11" i="1" s="1"/>
  <c r="L25" i="2" a="1"/>
  <c r="L25" i="2" s="1"/>
  <c r="L33" i="1" a="1"/>
  <c r="L33" i="1" s="1"/>
  <c r="L23" i="3" a="1"/>
  <c r="L23" i="3" s="1"/>
  <c r="L33" i="2" a="1"/>
  <c r="L33" i="2" s="1"/>
  <c r="L41" i="1" a="1"/>
  <c r="L41" i="1" s="1"/>
  <c r="L42" i="3" a="1"/>
  <c r="L42" i="3" s="1"/>
  <c r="O21" i="2" a="1"/>
  <c r="O21" i="2" s="1"/>
  <c r="O21" i="1" a="1"/>
  <c r="O21" i="1" s="1"/>
  <c r="O49" i="3" a="1"/>
  <c r="O49" i="3" s="1"/>
  <c r="O21" i="3" a="1"/>
  <c r="O21" i="3" s="1"/>
  <c r="O31" i="2" a="1"/>
  <c r="O31" i="2" s="1"/>
  <c r="O40" i="1" a="1"/>
  <c r="O40" i="1" s="1"/>
  <c r="N11" i="3" a="1"/>
  <c r="N11" i="3" s="1"/>
  <c r="N11" i="2" a="1"/>
  <c r="N11" i="2" s="1"/>
  <c r="N11" i="1" a="1"/>
  <c r="N11" i="1" s="1"/>
  <c r="N9" i="3" a="1"/>
  <c r="N9" i="3" s="1"/>
  <c r="N9" i="2" a="1"/>
  <c r="N9" i="2" s="1"/>
  <c r="N9" i="1" a="1"/>
  <c r="N9" i="1" s="1"/>
  <c r="O25" i="2" a="1"/>
  <c r="O25" i="2" s="1"/>
  <c r="O33" i="1" a="1"/>
  <c r="O33" i="1" s="1"/>
  <c r="L49" i="3" a="1"/>
  <c r="L49" i="3" s="1"/>
  <c r="L16" i="2" a="1"/>
  <c r="L16" i="2" s="1"/>
  <c r="L16" i="1" a="1"/>
  <c r="L16" i="1" s="1"/>
  <c r="N16" i="2" a="1"/>
  <c r="N16" i="2" s="1"/>
  <c r="N16" i="1" a="1"/>
  <c r="N16" i="1" s="1"/>
  <c r="O47" i="3" a="1"/>
  <c r="O47" i="3" s="1"/>
  <c r="O36" i="1" a="1"/>
  <c r="O36" i="1" s="1"/>
  <c r="O40" i="3" a="1"/>
  <c r="O40" i="3" s="1"/>
  <c r="O47" i="2" a="1"/>
  <c r="O47" i="2" s="1"/>
  <c r="O49" i="1" a="1"/>
  <c r="O49" i="1" s="1"/>
  <c r="O26" i="2" a="1"/>
  <c r="O26" i="2" s="1"/>
  <c r="O35" i="1" a="1"/>
  <c r="O35" i="1" s="1"/>
  <c r="N26" i="2" a="1"/>
  <c r="N26" i="2" s="1"/>
  <c r="N35" i="1" a="1"/>
  <c r="N35" i="1" s="1"/>
  <c r="O43" i="3" a="1"/>
  <c r="O43" i="3" s="1"/>
  <c r="O49" i="2" a="1"/>
  <c r="O49" i="2" s="1"/>
  <c r="O50" i="1" a="1"/>
  <c r="O50" i="1" s="1"/>
  <c r="K40" i="3" a="1"/>
  <c r="K40" i="3" s="1"/>
  <c r="K47" i="2" a="1"/>
  <c r="K47" i="2" s="1"/>
  <c r="K49" i="1" a="1"/>
  <c r="K49" i="1" s="1"/>
  <c r="M17" i="3" a="1"/>
  <c r="M17" i="3" s="1"/>
  <c r="M27" i="2" a="1"/>
  <c r="M27" i="2" s="1"/>
  <c r="M37" i="1" a="1"/>
  <c r="M37" i="1" s="1"/>
  <c r="N6" i="3" a="1"/>
  <c r="N6" i="3" s="1"/>
  <c r="N6" i="2" a="1"/>
  <c r="N6" i="2" s="1"/>
  <c r="N6" i="1" a="1"/>
  <c r="N6" i="1" s="1"/>
  <c r="K19" i="3" a="1"/>
  <c r="K19" i="3" s="1"/>
  <c r="K29" i="2" a="1"/>
  <c r="K29" i="2" s="1"/>
  <c r="K39" i="1" a="1"/>
  <c r="K39" i="1" s="1"/>
  <c r="K32" i="3" a="1"/>
  <c r="K32" i="3" s="1"/>
  <c r="K42" i="2" a="1"/>
  <c r="K42" i="2" s="1"/>
  <c r="O12" i="3" a="1"/>
  <c r="O12" i="3" s="1"/>
  <c r="O12" i="2" a="1"/>
  <c r="O12" i="2" s="1"/>
  <c r="O12" i="1" a="1"/>
  <c r="O12" i="1" s="1"/>
  <c r="K6" i="3" a="1"/>
  <c r="K6" i="3" s="1"/>
  <c r="K6" i="2" a="1"/>
  <c r="K6" i="2" s="1"/>
  <c r="K6" i="1" a="1"/>
  <c r="K6" i="1" s="1"/>
  <c r="M12" i="3" a="1"/>
  <c r="M12" i="3" s="1"/>
  <c r="M12" i="2" a="1"/>
  <c r="M12" i="2" s="1"/>
  <c r="M12" i="1" a="1"/>
  <c r="M12" i="1" s="1"/>
  <c r="P28" i="1" a="1"/>
  <c r="P28" i="1" s="1"/>
  <c r="O28" i="1" a="1"/>
  <c r="O28" i="1" s="1"/>
  <c r="P17" i="3" a="1"/>
  <c r="P17" i="3" s="1"/>
  <c r="P27" i="2" a="1"/>
  <c r="P27" i="2" s="1"/>
  <c r="P37" i="1" a="1"/>
  <c r="P37" i="1" s="1"/>
  <c r="O32" i="3" a="1"/>
  <c r="O32" i="3" s="1"/>
  <c r="O42" i="2" a="1"/>
  <c r="O42" i="2" s="1"/>
  <c r="M6" i="3" a="1"/>
  <c r="M6" i="3" s="1"/>
  <c r="M6" i="2" a="1"/>
  <c r="M6" i="2" s="1"/>
  <c r="M6" i="1" a="1"/>
  <c r="M6" i="1" s="1"/>
  <c r="M19" i="3" a="1"/>
  <c r="M19" i="3" s="1"/>
  <c r="M29" i="2" a="1"/>
  <c r="M29" i="2" s="1"/>
  <c r="M39" i="1" a="1"/>
  <c r="M39" i="1" s="1"/>
  <c r="K29" i="3" a="1"/>
  <c r="K29" i="3" s="1"/>
  <c r="K39" i="2" a="1"/>
  <c r="K39" i="2" s="1"/>
  <c r="K45" i="1" a="1"/>
  <c r="K45" i="1" s="1"/>
  <c r="N17" i="3" a="1"/>
  <c r="N17" i="3" s="1"/>
  <c r="N27" i="2" a="1"/>
  <c r="N27" i="2" s="1"/>
  <c r="N37" i="1" a="1"/>
  <c r="N37" i="1" s="1"/>
  <c r="P12" i="3" a="1"/>
  <c r="P12" i="3" s="1"/>
  <c r="P12" i="2" a="1"/>
  <c r="P12" i="2" s="1"/>
  <c r="P12" i="1" a="1"/>
  <c r="P12" i="1" s="1"/>
  <c r="P40" i="3" a="1"/>
  <c r="P40" i="3" s="1"/>
  <c r="P47" i="2" a="1"/>
  <c r="P47" i="2" s="1"/>
  <c r="P49" i="1" a="1"/>
  <c r="P49" i="1" s="1"/>
  <c r="L32" i="3" a="1"/>
  <c r="L32" i="3" s="1"/>
  <c r="L42" i="2" a="1"/>
  <c r="L42" i="2" s="1"/>
  <c r="L26" i="2" a="1"/>
  <c r="L26" i="2" s="1"/>
  <c r="L35" i="1" a="1"/>
  <c r="L35" i="1" s="1"/>
  <c r="K17" i="3" a="1"/>
  <c r="K17" i="3" s="1"/>
  <c r="K27" i="2" a="1"/>
  <c r="K27" i="2" s="1"/>
  <c r="K37" i="1" a="1"/>
  <c r="K37" i="1" s="1"/>
  <c r="L28" i="1" a="1"/>
  <c r="L28" i="1" s="1"/>
  <c r="N29" i="3" a="1"/>
  <c r="N29" i="3" s="1"/>
  <c r="N39" i="2" a="1"/>
  <c r="N39" i="2" s="1"/>
  <c r="N45" i="1" a="1"/>
  <c r="N45" i="1" s="1"/>
  <c r="P43" i="3" a="1"/>
  <c r="P43" i="3" s="1"/>
  <c r="P49" i="2" a="1"/>
  <c r="P49" i="2" s="1"/>
  <c r="P50" i="1" a="1"/>
  <c r="P50" i="1" s="1"/>
  <c r="L29" i="3" a="1"/>
  <c r="L29" i="3" s="1"/>
  <c r="L39" i="2" a="1"/>
  <c r="L39" i="2" s="1"/>
  <c r="L45" i="1" a="1"/>
  <c r="L45" i="1" s="1"/>
  <c r="M32" i="3" a="1"/>
  <c r="M32" i="3" s="1"/>
  <c r="M42" i="2" a="1"/>
  <c r="M42" i="2" s="1"/>
  <c r="P32" i="3" a="1"/>
  <c r="P32" i="3" s="1"/>
  <c r="P42" i="2" a="1"/>
  <c r="P42" i="2" s="1"/>
  <c r="P29" i="3" a="1"/>
  <c r="P29" i="3" s="1"/>
  <c r="P39" i="2" a="1"/>
  <c r="P39" i="2" s="1"/>
  <c r="P45" i="1" a="1"/>
  <c r="P45" i="1" s="1"/>
  <c r="L19" i="3" a="1"/>
  <c r="L19" i="3" s="1"/>
  <c r="L29" i="2" a="1"/>
  <c r="L29" i="2" s="1"/>
  <c r="L39" i="1" a="1"/>
  <c r="L39" i="1" s="1"/>
  <c r="M40" i="3" a="1"/>
  <c r="M40" i="3" s="1"/>
  <c r="M47" i="2" a="1"/>
  <c r="M47" i="2" s="1"/>
  <c r="M49" i="1" a="1"/>
  <c r="M49" i="1" s="1"/>
  <c r="O17" i="3" a="1"/>
  <c r="O17" i="3" s="1"/>
  <c r="O27" i="2" a="1"/>
  <c r="O27" i="2" s="1"/>
  <c r="O37" i="1" a="1"/>
  <c r="O37" i="1" s="1"/>
  <c r="L40" i="3" a="1"/>
  <c r="L40" i="3" s="1"/>
  <c r="L47" i="2" a="1"/>
  <c r="L47" i="2" s="1"/>
  <c r="L49" i="1" a="1"/>
  <c r="L49" i="1" s="1"/>
  <c r="P6" i="3" a="1"/>
  <c r="P6" i="3" s="1"/>
  <c r="P6" i="2" a="1"/>
  <c r="P6" i="2" s="1"/>
  <c r="P6" i="1" a="1"/>
  <c r="P6" i="1" s="1"/>
  <c r="L12" i="3" a="1"/>
  <c r="L12" i="3" s="1"/>
  <c r="L12" i="2" a="1"/>
  <c r="L12" i="2" s="1"/>
  <c r="L12" i="1" a="1"/>
  <c r="L12" i="1" s="1"/>
  <c r="L43" i="3" a="1"/>
  <c r="L43" i="3" s="1"/>
  <c r="L49" i="2" a="1"/>
  <c r="L49" i="2" s="1"/>
  <c r="L50" i="1" a="1"/>
  <c r="L50" i="1" s="1"/>
  <c r="P26" i="2" a="1"/>
  <c r="P26" i="2" s="1"/>
  <c r="P35" i="1" a="1"/>
  <c r="P35" i="1" s="1"/>
  <c r="M28" i="1" a="1"/>
  <c r="M28" i="1" s="1"/>
  <c r="N43" i="3" a="1"/>
  <c r="N43" i="3" s="1"/>
  <c r="N49" i="2" a="1"/>
  <c r="N49" i="2" s="1"/>
  <c r="N50" i="1" a="1"/>
  <c r="N50" i="1" s="1"/>
  <c r="N19" i="3" a="1"/>
  <c r="N19" i="3" s="1"/>
  <c r="N29" i="2" a="1"/>
  <c r="N29" i="2" s="1"/>
  <c r="N39" i="1" a="1"/>
  <c r="N39" i="1" s="1"/>
  <c r="N12" i="3" a="1"/>
  <c r="N12" i="3" s="1"/>
  <c r="N12" i="2" a="1"/>
  <c r="N12" i="2" s="1"/>
  <c r="N12" i="1" a="1"/>
  <c r="N12" i="1" s="1"/>
  <c r="N28" i="1" a="1"/>
  <c r="N28" i="1" s="1"/>
  <c r="M43" i="3" a="1"/>
  <c r="M43" i="3" s="1"/>
  <c r="M49" i="2" a="1"/>
  <c r="M49" i="2" s="1"/>
  <c r="M50" i="1" a="1"/>
  <c r="M50" i="1" s="1"/>
  <c r="K26" i="2" a="1"/>
  <c r="K26" i="2" s="1"/>
  <c r="K35" i="1" a="1"/>
  <c r="K35" i="1" s="1"/>
  <c r="L6" i="3" a="1"/>
  <c r="L6" i="3" s="1"/>
  <c r="L6" i="2" a="1"/>
  <c r="L6" i="2" s="1"/>
  <c r="L6" i="1" a="1"/>
  <c r="L6" i="1" s="1"/>
  <c r="O19" i="3" a="1"/>
  <c r="O19" i="3" s="1"/>
  <c r="O29" i="2" a="1"/>
  <c r="O29" i="2" s="1"/>
  <c r="O39" i="1" a="1"/>
  <c r="O39" i="1" s="1"/>
  <c r="M29" i="3" a="1"/>
  <c r="M29" i="3" s="1"/>
  <c r="M39" i="2" a="1"/>
  <c r="M39" i="2" s="1"/>
  <c r="M45" i="1" a="1"/>
  <c r="M45" i="1" s="1"/>
  <c r="K43" i="3" a="1"/>
  <c r="K43" i="3" s="1"/>
  <c r="K49" i="2" a="1"/>
  <c r="K49" i="2"/>
  <c r="K50" i="1" a="1"/>
  <c r="K50" i="1" s="1"/>
  <c r="P19" i="3" a="1"/>
  <c r="P19" i="3" s="1"/>
  <c r="P29" i="2" a="1"/>
  <c r="P29" i="2" s="1"/>
  <c r="P39" i="1" a="1"/>
  <c r="P39" i="1" s="1"/>
  <c r="K12" i="3" a="1"/>
  <c r="K12" i="3" s="1"/>
  <c r="K12" i="2" a="1"/>
  <c r="K12" i="2" s="1"/>
  <c r="K12" i="1" a="1"/>
  <c r="K12" i="1" s="1"/>
  <c r="L17" i="3" a="1"/>
  <c r="L17" i="3" s="1"/>
  <c r="L27" i="2" a="1"/>
  <c r="L27" i="2" s="1"/>
  <c r="L37" i="1" a="1"/>
  <c r="L37" i="1" s="1"/>
  <c r="N32" i="3" a="1"/>
  <c r="N32" i="3" s="1"/>
  <c r="N42" i="2" a="1"/>
  <c r="N42" i="2" s="1"/>
  <c r="N40" i="3" a="1"/>
  <c r="N40" i="3" s="1"/>
  <c r="N47" i="2" a="1"/>
  <c r="N47" i="2"/>
  <c r="N49" i="1" a="1"/>
  <c r="N49" i="1" s="1"/>
  <c r="O6" i="3" a="1"/>
  <c r="O6" i="3" s="1"/>
  <c r="O6" i="2" a="1"/>
  <c r="O6" i="2" s="1"/>
  <c r="O6" i="1" a="1"/>
  <c r="O6" i="1" s="1"/>
  <c r="M26" i="2" a="1"/>
  <c r="M26" i="2" s="1"/>
  <c r="M35" i="1" a="1"/>
  <c r="M35" i="1" s="1"/>
  <c r="K28" i="1" a="1"/>
  <c r="K28" i="1" s="1"/>
  <c r="O29" i="3" a="1"/>
  <c r="O29" i="3" s="1"/>
  <c r="O39" i="2" a="1"/>
  <c r="O39" i="2" s="1"/>
  <c r="O45" i="1" a="1"/>
  <c r="O45" i="1" s="1"/>
  <c r="O36" i="3" a="1"/>
  <c r="O36" i="3" s="1"/>
  <c r="O45" i="2" a="1"/>
  <c r="O45" i="2" s="1"/>
  <c r="O47" i="1" a="1"/>
  <c r="O47" i="1" s="1"/>
  <c r="N2" i="3" a="1"/>
  <c r="N2" i="3" s="1"/>
  <c r="N2" i="2" a="1"/>
  <c r="N2" i="2" s="1"/>
  <c r="N2" i="1" a="1"/>
  <c r="N2" i="1" s="1"/>
  <c r="N36" i="3" a="1"/>
  <c r="N36" i="3" s="1"/>
  <c r="N45" i="2" a="1"/>
  <c r="N45" i="2" s="1"/>
  <c r="N47" i="1" a="1"/>
  <c r="N47" i="1" s="1"/>
  <c r="L36" i="3" a="1"/>
  <c r="L36" i="3" s="1"/>
  <c r="L45" i="2" a="1"/>
  <c r="L45" i="2" s="1"/>
  <c r="L47" i="1" a="1"/>
  <c r="L47" i="1" s="1"/>
  <c r="P25" i="3" a="1"/>
  <c r="P25" i="3" s="1"/>
  <c r="P35" i="2" a="1"/>
  <c r="P35" i="2" s="1"/>
  <c r="P33" i="3" a="1"/>
  <c r="P33" i="3" s="1"/>
  <c r="P43" i="2" a="1"/>
  <c r="P43" i="2" s="1"/>
  <c r="P46" i="1" a="1"/>
  <c r="P46" i="1"/>
  <c r="M2" i="3" a="1"/>
  <c r="M2" i="3" s="1"/>
  <c r="M2" i="2" a="1"/>
  <c r="M2" i="2" s="1"/>
  <c r="M2" i="1" a="1"/>
  <c r="M2" i="1" s="1"/>
  <c r="N33" i="3" a="1"/>
  <c r="N33" i="3" s="1"/>
  <c r="N43" i="2" a="1"/>
  <c r="N43" i="2" s="1"/>
  <c r="N46" i="1" a="1"/>
  <c r="N46" i="1" s="1"/>
  <c r="N24" i="2" a="1"/>
  <c r="N24" i="2" s="1"/>
  <c r="N27" i="1" a="1"/>
  <c r="N27" i="1" s="1"/>
  <c r="P18" i="3" a="1"/>
  <c r="P18" i="3" s="1"/>
  <c r="P28" i="2" a="1"/>
  <c r="P28" i="2" s="1"/>
  <c r="P38" i="1" a="1"/>
  <c r="P38" i="1" s="1"/>
  <c r="P31" i="1" a="1"/>
  <c r="P31" i="1" s="1"/>
  <c r="O27" i="3" a="1"/>
  <c r="O27" i="3" s="1"/>
  <c r="O37" i="2" a="1"/>
  <c r="O37" i="2" s="1"/>
  <c r="L18" i="3" a="1"/>
  <c r="L18" i="3" s="1"/>
  <c r="L28" i="2" a="1"/>
  <c r="L28" i="2" s="1"/>
  <c r="L38" i="1" a="1"/>
  <c r="L38" i="1" s="1"/>
  <c r="P37" i="3" a="1"/>
  <c r="P37" i="3" s="1"/>
  <c r="P46" i="2" a="1"/>
  <c r="P46" i="2" s="1"/>
  <c r="P48" i="1" a="1"/>
  <c r="P48" i="1" s="1"/>
  <c r="K23" i="2" a="1"/>
  <c r="K23" i="2" s="1"/>
  <c r="K23" i="1" a="1"/>
  <c r="K23" i="1" s="1"/>
  <c r="O33" i="3" a="1"/>
  <c r="O33" i="3" s="1"/>
  <c r="O43" i="2" a="1"/>
  <c r="O43" i="2" s="1"/>
  <c r="O46" i="1" a="1"/>
  <c r="O46" i="1" s="1"/>
  <c r="P2" i="3" a="1"/>
  <c r="P2" i="3" s="1"/>
  <c r="P2" i="2" a="1"/>
  <c r="P2" i="2" s="1"/>
  <c r="P2" i="1" a="1"/>
  <c r="P2" i="1" s="1"/>
  <c r="M25" i="3" a="1"/>
  <c r="M25" i="3" s="1"/>
  <c r="M35" i="2" a="1"/>
  <c r="M35" i="2" s="1"/>
  <c r="P23" i="2" a="1"/>
  <c r="P23" i="2" s="1"/>
  <c r="P23" i="1" a="1"/>
  <c r="P23" i="1" s="1"/>
  <c r="K36" i="3" a="1"/>
  <c r="K36" i="3" s="1"/>
  <c r="K45" i="2" a="1"/>
  <c r="K45" i="2" s="1"/>
  <c r="K47" i="1" a="1"/>
  <c r="K47" i="1" s="1"/>
  <c r="N18" i="3" a="1"/>
  <c r="N18" i="3" s="1"/>
  <c r="N28" i="2" a="1"/>
  <c r="N28" i="2" s="1"/>
  <c r="N38" i="1" a="1"/>
  <c r="N38" i="1" s="1"/>
  <c r="K24" i="2" a="1"/>
  <c r="K24" i="2" s="1"/>
  <c r="K27" i="1" a="1"/>
  <c r="K27" i="1" s="1"/>
  <c r="M37" i="3" a="1"/>
  <c r="M37" i="3" s="1"/>
  <c r="M46" i="2" a="1"/>
  <c r="M46" i="2" s="1"/>
  <c r="M48" i="1" a="1"/>
  <c r="M48" i="1" s="1"/>
  <c r="M24" i="2" a="1"/>
  <c r="M24" i="2" s="1"/>
  <c r="M27" i="1" a="1"/>
  <c r="M27" i="1" s="1"/>
  <c r="N31" i="1" a="1"/>
  <c r="N31" i="1" s="1"/>
  <c r="M31" i="1" a="1"/>
  <c r="M31" i="1" s="1"/>
  <c r="L27" i="3" a="1"/>
  <c r="L27" i="3" s="1"/>
  <c r="L37" i="2" a="1"/>
  <c r="L37" i="2" s="1"/>
  <c r="L25" i="3" a="1"/>
  <c r="L25" i="3" s="1"/>
  <c r="L35" i="2" a="1"/>
  <c r="L35" i="2" s="1"/>
  <c r="L2" i="3" a="1"/>
  <c r="L2" i="3" s="1"/>
  <c r="L2" i="2" a="1"/>
  <c r="L2" i="2" s="1"/>
  <c r="L2" i="1" a="1"/>
  <c r="L2" i="1" s="1"/>
  <c r="K25" i="3" a="1"/>
  <c r="K25" i="3" s="1"/>
  <c r="K35" i="2" a="1"/>
  <c r="K35" i="2" s="1"/>
  <c r="L31" i="1" a="1"/>
  <c r="L31" i="1" s="1"/>
  <c r="O31" i="1" a="1"/>
  <c r="O31" i="1" s="1"/>
  <c r="M18" i="3" a="1"/>
  <c r="M18" i="3" s="1"/>
  <c r="M28" i="2" a="1"/>
  <c r="M28" i="2" s="1"/>
  <c r="M38" i="1" a="1"/>
  <c r="M38" i="1" s="1"/>
  <c r="N25" i="3" a="1"/>
  <c r="N25" i="3" s="1"/>
  <c r="N35" i="2" a="1"/>
  <c r="N35" i="2" s="1"/>
  <c r="P27" i="3" a="1"/>
  <c r="P27" i="3" s="1"/>
  <c r="P37" i="2" a="1"/>
  <c r="P37" i="2" s="1"/>
  <c r="L24" i="2" a="1"/>
  <c r="L24" i="2" s="1"/>
  <c r="L27" i="1" a="1"/>
  <c r="L27" i="1" s="1"/>
  <c r="M23" i="2" a="1"/>
  <c r="M23" i="2" s="1"/>
  <c r="M23" i="1" a="1"/>
  <c r="M23" i="1" s="1"/>
  <c r="P24" i="2" a="1"/>
  <c r="P24" i="2" s="1"/>
  <c r="P27" i="1" a="1"/>
  <c r="P27" i="1"/>
  <c r="L37" i="3" a="1"/>
  <c r="L37" i="3" s="1"/>
  <c r="L46" i="2" a="1"/>
  <c r="L46" i="2" s="1"/>
  <c r="L48" i="1" a="1"/>
  <c r="L48" i="1" s="1"/>
  <c r="O25" i="3" a="1"/>
  <c r="O25" i="3" s="1"/>
  <c r="O35" i="2" a="1"/>
  <c r="O35" i="2" s="1"/>
  <c r="M36" i="3" a="1"/>
  <c r="M36" i="3" s="1"/>
  <c r="M45" i="2" a="1"/>
  <c r="M45" i="2" s="1"/>
  <c r="M47" i="1" a="1"/>
  <c r="M47" i="1" s="1"/>
  <c r="N23" i="2" a="1"/>
  <c r="N23" i="2" s="1"/>
  <c r="N23" i="1" a="1"/>
  <c r="N23" i="1" s="1"/>
  <c r="L33" i="3" a="1"/>
  <c r="L33" i="3" s="1"/>
  <c r="L43" i="2" a="1"/>
  <c r="L43" i="2" s="1"/>
  <c r="L46" i="1" a="1"/>
  <c r="L46" i="1" s="1"/>
  <c r="M33" i="3" a="1"/>
  <c r="M33" i="3" s="1"/>
  <c r="M43" i="2" a="1"/>
  <c r="M43" i="2" s="1"/>
  <c r="M46" i="1" a="1"/>
  <c r="M46" i="1" s="1"/>
  <c r="P36" i="3" a="1"/>
  <c r="P36" i="3" s="1"/>
  <c r="P45" i="2" a="1"/>
  <c r="P45" i="2" s="1"/>
  <c r="P47" i="1" a="1"/>
  <c r="P47" i="1" s="1"/>
  <c r="K31" i="1" a="1"/>
  <c r="K31" i="1" s="1"/>
  <c r="O24" i="2" a="1"/>
  <c r="O24" i="2" s="1"/>
  <c r="O27" i="1" a="1"/>
  <c r="O27" i="1" s="1"/>
  <c r="O37" i="3" a="1"/>
  <c r="O37" i="3" s="1"/>
  <c r="O46" i="2" a="1"/>
  <c r="O46" i="2" s="1"/>
  <c r="O48" i="1" a="1"/>
  <c r="O48" i="1"/>
  <c r="N27" i="3" a="1"/>
  <c r="N27" i="3" s="1"/>
  <c r="N37" i="2" a="1"/>
  <c r="N37" i="2" s="1"/>
  <c r="K27" i="3" a="1"/>
  <c r="K27" i="3" s="1"/>
  <c r="K37" i="2" a="1"/>
  <c r="K37" i="2" s="1"/>
  <c r="N37" i="3" a="1"/>
  <c r="N37" i="3"/>
  <c r="N46" i="2" a="1"/>
  <c r="N46" i="2" s="1"/>
  <c r="N48" i="1" a="1"/>
  <c r="N48" i="1" s="1"/>
  <c r="O2" i="3" a="1"/>
  <c r="O2" i="3" s="1"/>
  <c r="O2" i="2" a="1"/>
  <c r="O2" i="2" s="1"/>
  <c r="O2" i="1" a="1"/>
  <c r="O2" i="1" s="1"/>
  <c r="K18" i="3" a="1"/>
  <c r="K18" i="3" s="1"/>
  <c r="K28" i="2" a="1"/>
  <c r="K28" i="2" s="1"/>
  <c r="K38" i="1" a="1"/>
  <c r="K38" i="1" s="1"/>
  <c r="O23" i="2" a="1"/>
  <c r="O23" i="2" s="1"/>
  <c r="O23" i="1" a="1"/>
  <c r="O23" i="1" s="1"/>
  <c r="K37" i="3" a="1"/>
  <c r="K37" i="3" s="1"/>
  <c r="K46" i="2" a="1"/>
  <c r="K46" i="2" s="1"/>
  <c r="K48" i="1" a="1"/>
  <c r="K48" i="1" s="1"/>
  <c r="K2" i="3" a="1"/>
  <c r="K2" i="3" s="1"/>
  <c r="K2" i="2" a="1"/>
  <c r="K2" i="2" s="1"/>
  <c r="K2" i="1" a="1"/>
  <c r="K2" i="1" s="1"/>
  <c r="L23" i="2" a="1"/>
  <c r="L23" i="2" s="1"/>
  <c r="L23" i="1" a="1"/>
  <c r="L23" i="1" s="1"/>
  <c r="K33" i="3" a="1"/>
  <c r="K33" i="3" s="1"/>
  <c r="K43" i="2" a="1"/>
  <c r="K43" i="2" s="1"/>
  <c r="K46" i="1" a="1"/>
  <c r="K46" i="1" s="1"/>
  <c r="O18" i="3" a="1"/>
  <c r="O18" i="3" s="1"/>
  <c r="O28" i="2" a="1"/>
  <c r="O28" i="2" s="1"/>
  <c r="O38" i="1" a="1"/>
  <c r="O38" i="1" s="1"/>
  <c r="M27" i="3" a="1"/>
  <c r="M27" i="3" s="1"/>
  <c r="M37" i="2" a="1"/>
  <c r="M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<sst xmlns="http://schemas.openxmlformats.org/spreadsheetml/2006/main" count="3406" uniqueCount="277">
  <si>
    <t>Portfolio</t>
  </si>
  <si>
    <t>ETF</t>
  </si>
  <si>
    <t>Name</t>
  </si>
  <si>
    <t>Ticker</t>
  </si>
  <si>
    <t>Bloomberg Ticker</t>
  </si>
  <si>
    <t>Sector</t>
  </si>
  <si>
    <t>Market Value</t>
  </si>
  <si>
    <t>ETF_MV_Share</t>
  </si>
  <si>
    <t>IssuerWeightInETF</t>
  </si>
  <si>
    <t>PortfolioWeight</t>
  </si>
  <si>
    <t>30_70</t>
  </si>
  <si>
    <t>HYG</t>
  </si>
  <si>
    <t>Venture Global Inc</t>
  </si>
  <si>
    <t>VG US</t>
  </si>
  <si>
    <t>VG US Equity</t>
  </si>
  <si>
    <t>Energy</t>
  </si>
  <si>
    <t>Charter Communications Inc</t>
  </si>
  <si>
    <t>CHTR US</t>
  </si>
  <si>
    <t>CHTR US Equity</t>
  </si>
  <si>
    <t>Communications</t>
  </si>
  <si>
    <t>TransDigm Group Inc</t>
  </si>
  <si>
    <t>TDG US</t>
  </si>
  <si>
    <t>TDG US Equity</t>
  </si>
  <si>
    <t>Capital Goods</t>
  </si>
  <si>
    <t>EchoStar Corp</t>
  </si>
  <si>
    <t>SATS US</t>
  </si>
  <si>
    <t>SATS US Equity</t>
  </si>
  <si>
    <t>Nissan Motor Co Ltd</t>
  </si>
  <si>
    <t>7201 JP</t>
  </si>
  <si>
    <t>7201 JP Equity</t>
  </si>
  <si>
    <t>Consumer Cyclical</t>
  </si>
  <si>
    <t>NRG Energy Inc</t>
  </si>
  <si>
    <t>NRG US</t>
  </si>
  <si>
    <t>NRG US Equity</t>
  </si>
  <si>
    <t>Electric</t>
  </si>
  <si>
    <t>Tenet Healthcare Corp</t>
  </si>
  <si>
    <t>THC US</t>
  </si>
  <si>
    <t>THC US Equity</t>
  </si>
  <si>
    <t>Consumer Non-Cyclical</t>
  </si>
  <si>
    <t>Apollo Global Management Inc</t>
  </si>
  <si>
    <t>APO US</t>
  </si>
  <si>
    <t>APO US Equity</t>
  </si>
  <si>
    <t>Bausch Health Cos Inc</t>
  </si>
  <si>
    <t>BHC CN</t>
  </si>
  <si>
    <t>BHC CN Equity</t>
  </si>
  <si>
    <t>Sunoco LP</t>
  </si>
  <si>
    <t>SUN US</t>
  </si>
  <si>
    <t>SUN US Equity</t>
  </si>
  <si>
    <t>OneMain Holdings Inc</t>
  </si>
  <si>
    <t>OMF US</t>
  </si>
  <si>
    <t>OMF US Equity</t>
  </si>
  <si>
    <t>Finance Companies</t>
  </si>
  <si>
    <t>Blackstone Inc</t>
  </si>
  <si>
    <t>BX US</t>
  </si>
  <si>
    <t>BX US Equity</t>
  </si>
  <si>
    <t>Community Health Systems Inc</t>
  </si>
  <si>
    <t>CYH US</t>
  </si>
  <si>
    <t>CYH US Equity</t>
  </si>
  <si>
    <t>Iron Mountain Inc</t>
  </si>
  <si>
    <t>IRM US</t>
  </si>
  <si>
    <t>IRM US Equity</t>
  </si>
  <si>
    <t>Technology</t>
  </si>
  <si>
    <t>Sirius XM Holdings Inc</t>
  </si>
  <si>
    <t>SIRI US</t>
  </si>
  <si>
    <t>SIRI US Equity</t>
  </si>
  <si>
    <t>Celanese Corp</t>
  </si>
  <si>
    <t>CE US</t>
  </si>
  <si>
    <t>CE US Equity</t>
  </si>
  <si>
    <t>Basic Industry</t>
  </si>
  <si>
    <t>Optimum Communications Inc</t>
  </si>
  <si>
    <t>OPTU US</t>
  </si>
  <si>
    <t>OPTU US Equity</t>
  </si>
  <si>
    <t>Albertsons Cos Inc</t>
  </si>
  <si>
    <t>ACI US</t>
  </si>
  <si>
    <t>ACI US Equity</t>
  </si>
  <si>
    <t>Restaurant Brands Internationa</t>
  </si>
  <si>
    <t>QSR CN</t>
  </si>
  <si>
    <t>QSR CN Equity</t>
  </si>
  <si>
    <t>Uniti Group Inc</t>
  </si>
  <si>
    <t>UNIT US</t>
  </si>
  <si>
    <t>UNIT US Equity</t>
  </si>
  <si>
    <t>Hilton Worldwide Holdings Inc</t>
  </si>
  <si>
    <t>HLT US</t>
  </si>
  <si>
    <t>HLT US Equity</t>
  </si>
  <si>
    <t>Post Holdings Inc</t>
  </si>
  <si>
    <t>POST US</t>
  </si>
  <si>
    <t>POST US Equity</t>
  </si>
  <si>
    <t>Vmed O2 UK Ltd</t>
  </si>
  <si>
    <t>1828288D LN</t>
  </si>
  <si>
    <t>1828288D LN Equity</t>
  </si>
  <si>
    <t>Lumen Technologies Inc</t>
  </si>
  <si>
    <t>LUMN US</t>
  </si>
  <si>
    <t>LUMN US Equity</t>
  </si>
  <si>
    <t>Wynn Resorts Ltd</t>
  </si>
  <si>
    <t>WYNN US</t>
  </si>
  <si>
    <t>WYNN US Equity</t>
  </si>
  <si>
    <t>United Rentals Inc</t>
  </si>
  <si>
    <t>URI US</t>
  </si>
  <si>
    <t>URI US Equity</t>
  </si>
  <si>
    <t>Warner Bros Discovery Inc</t>
  </si>
  <si>
    <t>WBD US</t>
  </si>
  <si>
    <t>WBD US Equity</t>
  </si>
  <si>
    <t>Cleveland-Cliffs Inc</t>
  </si>
  <si>
    <t>CLF US</t>
  </si>
  <si>
    <t>CLF US Equity</t>
  </si>
  <si>
    <t>Atlas Ontario LP</t>
  </si>
  <si>
    <t>2462179D CN</t>
  </si>
  <si>
    <t>2462179D CN Equity</t>
  </si>
  <si>
    <t>SM Energy Co</t>
  </si>
  <si>
    <t>SM US</t>
  </si>
  <si>
    <t>SM US Equity</t>
  </si>
  <si>
    <t>WESCO International Inc</t>
  </si>
  <si>
    <t>WCC US</t>
  </si>
  <si>
    <t>WCC US Equity</t>
  </si>
  <si>
    <t>Block Inc</t>
  </si>
  <si>
    <t>XYZ US</t>
  </si>
  <si>
    <t>XYZ US Equity</t>
  </si>
  <si>
    <t>Icahn Enterprises LP</t>
  </si>
  <si>
    <t>IEP US</t>
  </si>
  <si>
    <t>IEP US Equity</t>
  </si>
  <si>
    <t>Financial Other</t>
  </si>
  <si>
    <t>Medical Properties Trust Inc</t>
  </si>
  <si>
    <t>MPT US</t>
  </si>
  <si>
    <t>MPT US Equity</t>
  </si>
  <si>
    <t>Reits</t>
  </si>
  <si>
    <t>PG&amp;E Corp</t>
  </si>
  <si>
    <t>PCG US</t>
  </si>
  <si>
    <t>PCG US Equity</t>
  </si>
  <si>
    <t>LQD</t>
  </si>
  <si>
    <t>JPMorgan Chase &amp; Co</t>
  </si>
  <si>
    <t>JPM US</t>
  </si>
  <si>
    <t>JPM US Equity</t>
  </si>
  <si>
    <t>Banking</t>
  </si>
  <si>
    <t>Morgan Stanley</t>
  </si>
  <si>
    <t>MS US</t>
  </si>
  <si>
    <t>MS US Equity</t>
  </si>
  <si>
    <t>Bank of America Corp</t>
  </si>
  <si>
    <t>BAC US</t>
  </si>
  <si>
    <t>BAC US Equity</t>
  </si>
  <si>
    <t>Oracle Corp</t>
  </si>
  <si>
    <t>ORCL US</t>
  </si>
  <si>
    <t>ORCL US Equity</t>
  </si>
  <si>
    <t>Amazon.com Inc</t>
  </si>
  <si>
    <t>AMZN US</t>
  </si>
  <si>
    <t>AMZN US Equity</t>
  </si>
  <si>
    <t>AT&amp;T Inc</t>
  </si>
  <si>
    <t>T US</t>
  </si>
  <si>
    <t>T US Equity</t>
  </si>
  <si>
    <t>Verizon Communications Inc</t>
  </si>
  <si>
    <t>VZ US</t>
  </si>
  <si>
    <t>VZ US Equity</t>
  </si>
  <si>
    <t>UnitedHealth Group Inc</t>
  </si>
  <si>
    <t>UNH US</t>
  </si>
  <si>
    <t>UNH US Equity</t>
  </si>
  <si>
    <t>Insurance</t>
  </si>
  <si>
    <t>Broadcom Inc</t>
  </si>
  <si>
    <t>AVGO US</t>
  </si>
  <si>
    <t>AVGO US Equity</t>
  </si>
  <si>
    <t>AbbVie Inc</t>
  </si>
  <si>
    <t>ABBV US</t>
  </si>
  <si>
    <t>ABBV US Equity</t>
  </si>
  <si>
    <t>Berkshire Hathaway Inc</t>
  </si>
  <si>
    <t>BRK/A US</t>
  </si>
  <si>
    <t>BRK/A US Equity</t>
  </si>
  <si>
    <t>Amgen Inc</t>
  </si>
  <si>
    <t>AMGN US</t>
  </si>
  <si>
    <t>AMGN US Equity</t>
  </si>
  <si>
    <t>CVS Health Corp</t>
  </si>
  <si>
    <t>CVS US</t>
  </si>
  <si>
    <t>CVS US Equity</t>
  </si>
  <si>
    <t>Boeing Co/The</t>
  </si>
  <si>
    <t>BA US</t>
  </si>
  <si>
    <t>BA US Equity</t>
  </si>
  <si>
    <t>Energy Transfer LP</t>
  </si>
  <si>
    <t>ET US</t>
  </si>
  <si>
    <t>ET US Equity</t>
  </si>
  <si>
    <t>50_50</t>
  </si>
  <si>
    <t>Goldman Sachs Group Inc/The</t>
  </si>
  <si>
    <t>GS US</t>
  </si>
  <si>
    <t>GS US Equity</t>
  </si>
  <si>
    <t>Wells Fargo &amp; Co</t>
  </si>
  <si>
    <t>WFC US</t>
  </si>
  <si>
    <t>WFC US Equity</t>
  </si>
  <si>
    <t>Citigroup Inc</t>
  </si>
  <si>
    <t>C US</t>
  </si>
  <si>
    <t>C US Equity</t>
  </si>
  <si>
    <t>Meta Platforms Inc</t>
  </si>
  <si>
    <t>META US</t>
  </si>
  <si>
    <t>META US Equity</t>
  </si>
  <si>
    <t>Deutsche Telekom AG</t>
  </si>
  <si>
    <t>DTE GR</t>
  </si>
  <si>
    <t>DTE GR Equity</t>
  </si>
  <si>
    <t>HSBC Holdings PLC</t>
  </si>
  <si>
    <t>HSBA LN</t>
  </si>
  <si>
    <t>HSBA LN Equity</t>
  </si>
  <si>
    <t>Comcast Corp</t>
  </si>
  <si>
    <t>CMCSA US</t>
  </si>
  <si>
    <t>CMCSA US Equity</t>
  </si>
  <si>
    <t>Alphabet Inc</t>
  </si>
  <si>
    <t>GOOGL US</t>
  </si>
  <si>
    <t>GOOGL US Equity</t>
  </si>
  <si>
    <t>Pfizer Inc</t>
  </si>
  <si>
    <t>PFE US</t>
  </si>
  <si>
    <t>PFE US Equity</t>
  </si>
  <si>
    <t>General Motors Co</t>
  </si>
  <si>
    <t>GM US</t>
  </si>
  <si>
    <t>GM US Equity</t>
  </si>
  <si>
    <t>70_30</t>
  </si>
  <si>
    <t>Apple Inc</t>
  </si>
  <si>
    <t>AAPL US</t>
  </si>
  <si>
    <t>AAPL US Equity</t>
  </si>
  <si>
    <t>HCA Healthcare Inc</t>
  </si>
  <si>
    <t>HCA US</t>
  </si>
  <si>
    <t>HCA US Equity</t>
  </si>
  <si>
    <t>Mitsubishi UFJ Financial Group</t>
  </si>
  <si>
    <t>8306 JP</t>
  </si>
  <si>
    <t>8306 JP Equity</t>
  </si>
  <si>
    <t>Marathon Petroleum Corp</t>
  </si>
  <si>
    <t>MPC US</t>
  </si>
  <si>
    <t>MPC US Equity</t>
  </si>
  <si>
    <t>RTX Corp</t>
  </si>
  <si>
    <t>RTX US</t>
  </si>
  <si>
    <t>RTX US Equity</t>
  </si>
  <si>
    <t>Intercontinental Exchange Inc</t>
  </si>
  <si>
    <t>ICE US</t>
  </si>
  <si>
    <t>ICE US Equity</t>
  </si>
  <si>
    <t>Brokerage/Asset Managers/Exchanges</t>
  </si>
  <si>
    <t>BHP Group Ltd</t>
  </si>
  <si>
    <t>BHP AU</t>
  </si>
  <si>
    <t>BHP AU Equity</t>
  </si>
  <si>
    <t>1_year_default_probability</t>
  </si>
  <si>
    <t>moody_long_term_rating</t>
  </si>
  <si>
    <t>SP_LT_local_currency_issuer_credit_rating</t>
  </si>
  <si>
    <t>fitch_long_term_issuer_default_rating</t>
  </si>
  <si>
    <t>bloomberg_analyst_rating</t>
  </si>
  <si>
    <t>bloomberg_issuer_composite_based_on_ratings</t>
  </si>
  <si>
    <t>#N/A N/A</t>
  </si>
  <si>
    <t>Ba2</t>
  </si>
  <si>
    <t>BB+</t>
  </si>
  <si>
    <t>BB+ *+</t>
  </si>
  <si>
    <t>WD</t>
  </si>
  <si>
    <t>NR</t>
  </si>
  <si>
    <t>B3</t>
  </si>
  <si>
    <t>CCC+ *+</t>
  </si>
  <si>
    <t>BB-</t>
  </si>
  <si>
    <t>BB</t>
  </si>
  <si>
    <t>Ba1</t>
  </si>
  <si>
    <t>Ba3</t>
  </si>
  <si>
    <t>A2</t>
  </si>
  <si>
    <t>A</t>
  </si>
  <si>
    <t>Caa2</t>
  </si>
  <si>
    <t>B-</t>
  </si>
  <si>
    <t>A+</t>
  </si>
  <si>
    <t>CCC+</t>
  </si>
  <si>
    <t>B1</t>
  </si>
  <si>
    <t>B+</t>
  </si>
  <si>
    <t>B2</t>
  </si>
  <si>
    <t>B</t>
  </si>
  <si>
    <t>Ba1 *-</t>
  </si>
  <si>
    <t>BB+ *-</t>
  </si>
  <si>
    <t>BBB-</t>
  </si>
  <si>
    <t>AA-</t>
  </si>
  <si>
    <t>A-</t>
  </si>
  <si>
    <t>Baa2</t>
  </si>
  <si>
    <t>BBB</t>
  </si>
  <si>
    <t>A1</t>
  </si>
  <si>
    <t>AA</t>
  </si>
  <si>
    <t>BBB+ *-</t>
  </si>
  <si>
    <t>Baa1</t>
  </si>
  <si>
    <t>BBB+</t>
  </si>
  <si>
    <t>A3</t>
  </si>
  <si>
    <t>Aa2</t>
  </si>
  <si>
    <t>AA-u</t>
  </si>
  <si>
    <t>Baa3</t>
  </si>
  <si>
    <t>Aa3</t>
  </si>
  <si>
    <t>AA+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</si>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</sst>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F5" sqref="A1:P51"/>
    </sheetView>
  </sheetViews>
  <sheetFormatPr defaultRowHeight="14.5" x14ac:dyDescent="0.35"/>
  <cols>
    <col min="11" max="11" width="25.54296875" bestFit="1" customWidth="1"/>
    <col min="12" max="12" width="23.81640625" bestFit="1" customWidth="1"/>
    <col min="13" max="13" width="39.26953125" bestFit="1" customWidth="1"/>
    <col min="14" max="14" width="35.81640625" bestFit="1" customWidth="1"/>
    <col min="15" max="15" width="24.54296875" bestFit="1" customWidth="1"/>
    <col min="16" max="16" width="4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8.1282141444581374E-2</v>
      </c>
      <c r="J2">
        <v>5.6897499011206963E-2</v>
      </c>
      <c r="K2" t="e" cm="1">
        <f t="array" aca="1" ref="K2" ca="1">_xll.BDP(E2,"BB_1YR_DEFAULT_PROB")</f>
        <v>#NAME?</v>
      </c>
      <c r="L2" t="e" cm="1">
        <f t="array" aca="1" ref="L2" ca="1">_xll.BDP(E2,"RTG_MOODY_LONG_TERM")</f>
        <v>#NAME?</v>
      </c>
      <c r="M2" t="e" cm="1">
        <f t="array" aca="1" ref="M2" ca="1">_xll.BDP(E2,"RTG_SP_LT_LC_ISSUER_CREDIT")</f>
        <v>#NAME?</v>
      </c>
      <c r="N2" t="e" cm="1">
        <f t="array" aca="1" ref="N2" ca="1">_xll.BDP(E2,"RTG_FITCH_LT_ISSUER_DEFAULT")</f>
        <v>#NAME?</v>
      </c>
      <c r="O2" t="e" cm="1">
        <f t="array" aca="1" ref="O2" ca="1">_xll.BDP(E2,"BEST_ANALYST_RATING")</f>
        <v>#NAME?</v>
      </c>
      <c r="P2" t="e" cm="1">
        <f t="array" aca="1" ref="P2" ca="1">_xll.BDP(E2,"BB_ISSR_COMP_BSE_ON_RTGS")</f>
        <v>#NAME?</v>
      </c>
    </row>
    <row r="3" spans="1:16" x14ac:dyDescent="0.35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7.4477345435722792E-2</v>
      </c>
      <c r="J3">
        <v>5.2134141805005953E-2</v>
      </c>
      <c r="K3" t="e" cm="1">
        <f t="array" aca="1" ref="K3" ca="1">_xll.BDP(E3,"BB_1YR_DEFAULT_PROB")</f>
        <v>#NAME?</v>
      </c>
      <c r="L3" t="e" cm="1">
        <f t="array" aca="1" ref="L3" ca="1">_xll.BDP(E3,"RTG_MOODY_LONG_TERM")</f>
        <v>#NAME?</v>
      </c>
      <c r="M3" t="e" cm="1">
        <f t="array" aca="1" ref="M3" ca="1">_xll.BDP(E3,"RTG_SP_LT_LC_ISSUER_CREDIT")</f>
        <v>#NAME?</v>
      </c>
      <c r="N3" t="e" cm="1">
        <f t="array" aca="1" ref="N3" ca="1">_xll.BDP(E3,"RTG_FITCH_LT_ISSUER_DEFAULT")</f>
        <v>#NAME?</v>
      </c>
      <c r="O3" t="e" cm="1">
        <f t="array" aca="1" ref="O3" ca="1">_xll.BDP(E3,"BEST_ANALYST_RATING")</f>
        <v>#NAME?</v>
      </c>
      <c r="P3" t="e" cm="1">
        <f t="array" aca="1" ref="P3" ca="1">_xll.BDP(E3,"BB_ISSR_COMP_BSE_ON_RTGS")</f>
        <v>#NAME?</v>
      </c>
    </row>
    <row r="4" spans="1:16" x14ac:dyDescent="0.3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6.0838800895381913E-2</v>
      </c>
      <c r="J4">
        <v>4.2587160626767331E-2</v>
      </c>
      <c r="K4" t="e" cm="1">
        <f t="array" aca="1" ref="K4" ca="1">_xll.BDP(E4,"BB_1YR_DEFAULT_PROB")</f>
        <v>#NAME?</v>
      </c>
      <c r="L4" t="e" cm="1">
        <f t="array" aca="1" ref="L4" ca="1">_xll.BDP(E4,"RTG_MOODY_LONG_TERM")</f>
        <v>#NAME?</v>
      </c>
      <c r="M4" t="e" cm="1">
        <f t="array" aca="1" ref="M4" ca="1">_xll.BDP(E4,"RTG_SP_LT_LC_ISSUER_CREDIT")</f>
        <v>#NAME?</v>
      </c>
      <c r="N4" t="e" cm="1">
        <f t="array" aca="1" ref="N4" ca="1">_xll.BDP(E4,"RTG_FITCH_LT_ISSUER_DEFAULT")</f>
        <v>#NAME?</v>
      </c>
      <c r="O4" t="e" cm="1">
        <f t="array" aca="1" ref="O4" ca="1">_xll.BDP(E4,"BEST_ANALYST_RATING")</f>
        <v>#NAME?</v>
      </c>
      <c r="P4" t="e" cm="1">
        <f t="array" aca="1" ref="P4" ca="1">_xll.BDP(E4,"BB_ISSR_COMP_BSE_ON_RTGS")</f>
        <v>#NAME?</v>
      </c>
    </row>
    <row r="5" spans="1:16" x14ac:dyDescent="0.35">
      <c r="A5" t="s">
        <v>10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4.9507423698364993E-2</v>
      </c>
      <c r="J5">
        <v>3.4655196588855491E-2</v>
      </c>
      <c r="K5" t="e" cm="1">
        <f t="array" aca="1" ref="K5" ca="1">_xll.BDP(E5,"BB_1YR_DEFAULT_PROB")</f>
        <v>#NAME?</v>
      </c>
      <c r="L5" t="e" cm="1">
        <f t="array" aca="1" ref="L5" ca="1">_xll.BDP(E5,"RTG_MOODY_LONG_TERM")</f>
        <v>#NAME?</v>
      </c>
      <c r="M5" t="e" cm="1">
        <f t="array" aca="1" ref="M5" ca="1">_xll.BDP(E5,"RTG_SP_LT_LC_ISSUER_CREDIT")</f>
        <v>#NAME?</v>
      </c>
      <c r="N5" t="e" cm="1">
        <f t="array" aca="1" ref="N5" ca="1">_xll.BDP(E5,"RTG_FITCH_LT_ISSUER_DEFAULT")</f>
        <v>#NAME?</v>
      </c>
      <c r="O5" t="e" cm="1">
        <f t="array" aca="1" ref="O5" ca="1">_xll.BDP(E5,"BEST_ANALYST_RATING")</f>
        <v>#NAME?</v>
      </c>
      <c r="P5" t="e" cm="1">
        <f t="array" aca="1" ref="P5" ca="1">_xll.BDP(E5,"BB_ISSR_COMP_BSE_ON_RTGS")</f>
        <v>#NAME?</v>
      </c>
    </row>
    <row r="6" spans="1:16" x14ac:dyDescent="0.35">
      <c r="A6" t="s">
        <v>10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3.6329144815728152E-2</v>
      </c>
      <c r="J6">
        <v>2.54304013710097E-2</v>
      </c>
      <c r="K6" t="e" cm="1">
        <f t="array" aca="1" ref="K6" ca="1">_xll.BDP(E6,"BB_1YR_DEFAULT_PROB")</f>
        <v>#NAME?</v>
      </c>
      <c r="L6" t="e" cm="1">
        <f t="array" aca="1" ref="L6" ca="1">_xll.BDP(E6,"RTG_MOODY_LONG_TERM")</f>
        <v>#NAME?</v>
      </c>
      <c r="M6" t="e" cm="1">
        <f t="array" aca="1" ref="M6" ca="1">_xll.BDP(E6,"RTG_SP_LT_LC_ISSUER_CREDIT")</f>
        <v>#NAME?</v>
      </c>
      <c r="N6" t="e" cm="1">
        <f t="array" aca="1" ref="N6" ca="1">_xll.BDP(E6,"RTG_FITCH_LT_ISSUER_DEFAULT")</f>
        <v>#NAME?</v>
      </c>
      <c r="O6" t="e" cm="1">
        <f t="array" aca="1" ref="O6" ca="1">_xll.BDP(E6,"BEST_ANALYST_RATING")</f>
        <v>#NAME?</v>
      </c>
      <c r="P6" t="e" cm="1">
        <f t="array" aca="1" ref="P6" ca="1">_xll.BDP(E6,"BB_ISSR_COMP_BSE_ON_RTGS")</f>
        <v>#NAME?</v>
      </c>
    </row>
    <row r="7" spans="1:16" x14ac:dyDescent="0.35">
      <c r="A7" t="s">
        <v>10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3.3854965216254487E-2</v>
      </c>
      <c r="J7">
        <v>2.3698475651378139E-2</v>
      </c>
      <c r="K7" t="e" cm="1">
        <f t="array" aca="1" ref="K7" ca="1">_xll.BDP(E7,"BB_1YR_DEFAULT_PROB")</f>
        <v>#NAME?</v>
      </c>
      <c r="L7" t="e" cm="1">
        <f t="array" aca="1" ref="L7" ca="1">_xll.BDP(E7,"RTG_MOODY_LONG_TERM")</f>
        <v>#NAME?</v>
      </c>
      <c r="M7" t="e" cm="1">
        <f t="array" aca="1" ref="M7" ca="1">_xll.BDP(E7,"RTG_SP_LT_LC_ISSUER_CREDIT")</f>
        <v>#NAME?</v>
      </c>
      <c r="N7" t="e" cm="1">
        <f t="array" aca="1" ref="N7" ca="1">_xll.BDP(E7,"RTG_FITCH_LT_ISSUER_DEFAULT")</f>
        <v>#NAME?</v>
      </c>
      <c r="O7" t="e" cm="1">
        <f t="array" aca="1" ref="O7" ca="1">_xll.BDP(E7,"BEST_ANALYST_RATING")</f>
        <v>#NAME?</v>
      </c>
      <c r="P7" t="e" cm="1">
        <f t="array" aca="1" ref="P7" ca="1">_xll.BDP(E7,"BB_ISSR_COMP_BSE_ON_RTGS")</f>
        <v>#NAME?</v>
      </c>
    </row>
    <row r="8" spans="1:16" x14ac:dyDescent="0.35">
      <c r="A8" t="s">
        <v>10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3.3789606102459437E-2</v>
      </c>
      <c r="J8">
        <v>2.36527242717216E-2</v>
      </c>
      <c r="K8" t="e" cm="1">
        <f t="array" aca="1" ref="K8" ca="1">_xll.BDP(E8,"BB_1YR_DEFAULT_PROB")</f>
        <v>#NAME?</v>
      </c>
      <c r="L8" t="e" cm="1">
        <f t="array" aca="1" ref="L8" ca="1">_xll.BDP(E8,"RTG_MOODY_LONG_TERM")</f>
        <v>#NAME?</v>
      </c>
      <c r="M8" t="e" cm="1">
        <f t="array" aca="1" ref="M8" ca="1">_xll.BDP(E8,"RTG_SP_LT_LC_ISSUER_CREDIT")</f>
        <v>#NAME?</v>
      </c>
      <c r="N8" t="e" cm="1">
        <f t="array" aca="1" ref="N8" ca="1">_xll.BDP(E8,"RTG_FITCH_LT_ISSUER_DEFAULT")</f>
        <v>#NAME?</v>
      </c>
      <c r="O8" t="e" cm="1">
        <f t="array" aca="1" ref="O8" ca="1">_xll.BDP(E8,"BEST_ANALYST_RATING")</f>
        <v>#NAME?</v>
      </c>
      <c r="P8" t="e" cm="1">
        <f t="array" aca="1" ref="P8" ca="1">_xll.BDP(E8,"BB_ISSR_COMP_BSE_ON_RTGS")</f>
        <v>#NAME?</v>
      </c>
    </row>
    <row r="9" spans="1:16" x14ac:dyDescent="0.35">
      <c r="A9" t="s">
        <v>10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3.3085088229651637E-2</v>
      </c>
      <c r="J9">
        <v>2.3159561760756151E-2</v>
      </c>
      <c r="K9" t="e" cm="1">
        <f t="array" aca="1" ref="K9" ca="1">_xll.BDP(E9,"BB_1YR_DEFAULT_PROB")</f>
        <v>#NAME?</v>
      </c>
      <c r="L9" t="e" cm="1">
        <f t="array" aca="1" ref="L9" ca="1">_xll.BDP(E9,"RTG_MOODY_LONG_TERM")</f>
        <v>#NAME?</v>
      </c>
      <c r="M9" t="e" cm="1">
        <f t="array" aca="1" ref="M9" ca="1">_xll.BDP(E9,"RTG_SP_LT_LC_ISSUER_CREDIT")</f>
        <v>#NAME?</v>
      </c>
      <c r="N9" t="e" cm="1">
        <f t="array" aca="1" ref="N9" ca="1">_xll.BDP(E9,"RTG_FITCH_LT_ISSUER_DEFAULT")</f>
        <v>#NAME?</v>
      </c>
      <c r="O9" t="e" cm="1">
        <f t="array" aca="1" ref="O9" ca="1">_xll.BDP(E9,"BEST_ANALYST_RATING")</f>
        <v>#NAME?</v>
      </c>
      <c r="P9" t="e" cm="1">
        <f t="array" aca="1" ref="P9" ca="1">_xll.BDP(E9,"BB_ISSR_COMP_BSE_ON_RTGS")</f>
        <v>#NAME?</v>
      </c>
    </row>
    <row r="10" spans="1:16" x14ac:dyDescent="0.35">
      <c r="A10" t="s">
        <v>10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3.2339719204241682E-2</v>
      </c>
      <c r="J10">
        <v>2.263780344296917E-2</v>
      </c>
      <c r="K10" t="e" cm="1">
        <f t="array" aca="1" ref="K10" ca="1">_xll.BDP(E10,"BB_1YR_DEFAULT_PROB")</f>
        <v>#NAME?</v>
      </c>
      <c r="L10" t="e" cm="1">
        <f t="array" aca="1" ref="L10" ca="1">_xll.BDP(E10,"RTG_MOODY_LONG_TERM")</f>
        <v>#NAME?</v>
      </c>
      <c r="M10" t="e" cm="1">
        <f t="array" aca="1" ref="M10" ca="1">_xll.BDP(E10,"RTG_SP_LT_LC_ISSUER_CREDIT")</f>
        <v>#NAME?</v>
      </c>
      <c r="N10" t="e" cm="1">
        <f t="array" aca="1" ref="N10" ca="1">_xll.BDP(E10,"RTG_FITCH_LT_ISSUER_DEFAULT")</f>
        <v>#NAME?</v>
      </c>
      <c r="O10" t="e" cm="1">
        <f t="array" aca="1" ref="O10" ca="1">_xll.BDP(E10,"BEST_ANALYST_RATING")</f>
        <v>#NAME?</v>
      </c>
      <c r="P10" t="e" cm="1">
        <f t="array" aca="1" ref="P10" ca="1">_xll.BDP(E10,"BB_ISSR_COMP_BSE_ON_RTGS")</f>
        <v>#NAME?</v>
      </c>
    </row>
    <row r="11" spans="1:16" x14ac:dyDescent="0.35">
      <c r="A11" t="s">
        <v>10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3.0737912159373711E-2</v>
      </c>
      <c r="J11">
        <v>2.15165385115616E-2</v>
      </c>
      <c r="K11" t="e" cm="1">
        <f t="array" aca="1" ref="K11" ca="1">_xll.BDP(E11,"BB_1YR_DEFAULT_PROB")</f>
        <v>#NAME?</v>
      </c>
      <c r="L11" t="e" cm="1">
        <f t="array" aca="1" ref="L11" ca="1">_xll.BDP(E11,"RTG_MOODY_LONG_TERM")</f>
        <v>#NAME?</v>
      </c>
      <c r="M11" t="e" cm="1">
        <f t="array" aca="1" ref="M11" ca="1">_xll.BDP(E11,"RTG_SP_LT_LC_ISSUER_CREDIT")</f>
        <v>#NAME?</v>
      </c>
      <c r="N11" t="e" cm="1">
        <f t="array" aca="1" ref="N11" ca="1">_xll.BDP(E11,"RTG_FITCH_LT_ISSUER_DEFAULT")</f>
        <v>#NAME?</v>
      </c>
      <c r="O11" t="e" cm="1">
        <f t="array" aca="1" ref="O11" ca="1">_xll.BDP(E11,"BEST_ANALYST_RATING")</f>
        <v>#NAME?</v>
      </c>
      <c r="P11" t="e" cm="1">
        <f t="array" aca="1" ref="P11" ca="1">_xll.BDP(E11,"BB_ISSR_COMP_BSE_ON_RTGS")</f>
        <v>#NAME?</v>
      </c>
    </row>
    <row r="12" spans="1:16" x14ac:dyDescent="0.35">
      <c r="A12" t="s">
        <v>10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3.0710654562178519E-2</v>
      </c>
      <c r="J12">
        <v>2.149745819352496E-2</v>
      </c>
      <c r="K12" t="e" cm="1">
        <f t="array" aca="1" ref="K12" ca="1">_xll.BDP(E12,"BB_1YR_DEFAULT_PROB")</f>
        <v>#NAME?</v>
      </c>
      <c r="L12" t="e" cm="1">
        <f t="array" aca="1" ref="L12" ca="1">_xll.BDP(E12,"RTG_MOODY_LONG_TERM")</f>
        <v>#NAME?</v>
      </c>
      <c r="M12" t="e" cm="1">
        <f t="array" aca="1" ref="M12" ca="1">_xll.BDP(E12,"RTG_SP_LT_LC_ISSUER_CREDIT")</f>
        <v>#NAME?</v>
      </c>
      <c r="N12" t="e" cm="1">
        <f t="array" aca="1" ref="N12" ca="1">_xll.BDP(E12,"RTG_FITCH_LT_ISSUER_DEFAULT")</f>
        <v>#NAME?</v>
      </c>
      <c r="O12" t="e" cm="1">
        <f t="array" aca="1" ref="O12" ca="1">_xll.BDP(E12,"BEST_ANALYST_RATING")</f>
        <v>#NAME?</v>
      </c>
      <c r="P12" t="e" cm="1">
        <f t="array" aca="1" ref="P12" ca="1">_xll.BDP(E12,"BB_ISSR_COMP_BSE_ON_RTGS")</f>
        <v>#NAME?</v>
      </c>
    </row>
    <row r="13" spans="1:16" x14ac:dyDescent="0.35">
      <c r="A13" t="s">
        <v>10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2.9446766323357829E-2</v>
      </c>
      <c r="J13">
        <v>2.0612736426350479E-2</v>
      </c>
      <c r="K13" t="e" cm="1">
        <f t="array" aca="1" ref="K13" ca="1">_xll.BDP(E13,"BB_1YR_DEFAULT_PROB")</f>
        <v>#NAME?</v>
      </c>
      <c r="L13" t="e" cm="1">
        <f t="array" aca="1" ref="L13" ca="1">_xll.BDP(E13,"RTG_MOODY_LONG_TERM")</f>
        <v>#NAME?</v>
      </c>
      <c r="M13" t="e" cm="1">
        <f t="array" aca="1" ref="M13" ca="1">_xll.BDP(E13,"RTG_SP_LT_LC_ISSUER_CREDIT")</f>
        <v>#NAME?</v>
      </c>
      <c r="N13" t="e" cm="1">
        <f t="array" aca="1" ref="N13" ca="1">_xll.BDP(E13,"RTG_FITCH_LT_ISSUER_DEFAULT")</f>
        <v>#NAME?</v>
      </c>
      <c r="O13" t="e" cm="1">
        <f t="array" aca="1" ref="O13" ca="1">_xll.BDP(E13,"BEST_ANALYST_RATING")</f>
        <v>#NAME?</v>
      </c>
      <c r="P13" t="e" cm="1">
        <f t="array" aca="1" ref="P13" ca="1">_xll.BDP(E13,"BB_ISSR_COMP_BSE_ON_RTGS")</f>
        <v>#NAME?</v>
      </c>
    </row>
    <row r="14" spans="1:16" x14ac:dyDescent="0.35">
      <c r="A14" t="s">
        <v>10</v>
      </c>
      <c r="B14" t="s">
        <v>11</v>
      </c>
      <c r="C14" t="s">
        <v>55</v>
      </c>
      <c r="D14" t="s">
        <v>56</v>
      </c>
      <c r="E14" t="s">
        <v>57</v>
      </c>
      <c r="F14" t="s">
        <v>38</v>
      </c>
      <c r="G14">
        <v>132368241.48</v>
      </c>
      <c r="H14">
        <v>8.0360492379930783E-3</v>
      </c>
      <c r="I14">
        <v>2.6922978884713521E-2</v>
      </c>
      <c r="J14">
        <v>1.8846085219299459E-2</v>
      </c>
      <c r="K14" t="e" cm="1">
        <f t="array" aca="1" ref="K14" ca="1">_xll.BDP(E14,"BB_1YR_DEFAULT_PROB")</f>
        <v>#NAME?</v>
      </c>
      <c r="L14" t="e" cm="1">
        <f t="array" aca="1" ref="L14" ca="1">_xll.BDP(E14,"RTG_MOODY_LONG_TERM")</f>
        <v>#NAME?</v>
      </c>
      <c r="M14" t="e" cm="1">
        <f t="array" aca="1" ref="M14" ca="1">_xll.BDP(E14,"RTG_SP_LT_LC_ISSUER_CREDIT")</f>
        <v>#NAME?</v>
      </c>
      <c r="N14" t="e" cm="1">
        <f t="array" aca="1" ref="N14" ca="1">_xll.BDP(E14,"RTG_FITCH_LT_ISSUER_DEFAULT")</f>
        <v>#NAME?</v>
      </c>
      <c r="O14" t="e" cm="1">
        <f t="array" aca="1" ref="O14" ca="1">_xll.BDP(E14,"BEST_ANALYST_RATING")</f>
        <v>#NAME?</v>
      </c>
      <c r="P14" t="e" cm="1">
        <f t="array" aca="1" ref="P14" ca="1">_xll.BDP(E14,"BB_ISSR_COMP_BSE_ON_RTGS")</f>
        <v>#NAME?</v>
      </c>
    </row>
    <row r="15" spans="1:16" x14ac:dyDescent="0.35">
      <c r="A15" t="s">
        <v>10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2.6678588015545159E-2</v>
      </c>
      <c r="J15">
        <v>1.8675011610881611E-2</v>
      </c>
      <c r="K15" t="e" cm="1">
        <f t="array" aca="1" ref="K15" ca="1">_xll.BDP(E15,"BB_1YR_DEFAULT_PROB")</f>
        <v>#NAME?</v>
      </c>
      <c r="L15" t="e" cm="1">
        <f t="array" aca="1" ref="L15" ca="1">_xll.BDP(E15,"RTG_MOODY_LONG_TERM")</f>
        <v>#NAME?</v>
      </c>
      <c r="M15" t="e" cm="1">
        <f t="array" aca="1" ref="M15" ca="1">_xll.BDP(E15,"RTG_SP_LT_LC_ISSUER_CREDIT")</f>
        <v>#NAME?</v>
      </c>
      <c r="N15" t="e" cm="1">
        <f t="array" aca="1" ref="N15" ca="1">_xll.BDP(E15,"RTG_FITCH_LT_ISSUER_DEFAULT")</f>
        <v>#NAME?</v>
      </c>
      <c r="O15" t="e" cm="1">
        <f t="array" aca="1" ref="O15" ca="1">_xll.BDP(E15,"BEST_ANALYST_RATING")</f>
        <v>#NAME?</v>
      </c>
      <c r="P15" t="e" cm="1">
        <f t="array" aca="1" ref="P15" ca="1">_xll.BDP(E15,"BB_ISSR_COMP_BSE_ON_RTGS")</f>
        <v>#NAME?</v>
      </c>
    </row>
    <row r="16" spans="1:16" x14ac:dyDescent="0.35">
      <c r="A16" t="s">
        <v>10</v>
      </c>
      <c r="B16" t="s">
        <v>11</v>
      </c>
      <c r="C16" t="s">
        <v>62</v>
      </c>
      <c r="D16" t="s">
        <v>63</v>
      </c>
      <c r="E16" t="s">
        <v>64</v>
      </c>
      <c r="F16" t="s">
        <v>19</v>
      </c>
      <c r="G16">
        <v>131086786.5</v>
      </c>
      <c r="H16">
        <v>7.9582523646614389E-3</v>
      </c>
      <c r="I16">
        <v>2.666233792595708E-2</v>
      </c>
      <c r="J16">
        <v>1.8663636548169951E-2</v>
      </c>
      <c r="K16" t="e" cm="1">
        <f t="array" aca="1" ref="K16" ca="1">_xll.BDP(E16,"BB_1YR_DEFAULT_PROB")</f>
        <v>#NAME?</v>
      </c>
      <c r="L16" t="e" cm="1">
        <f t="array" aca="1" ref="L16" ca="1">_xll.BDP(E16,"RTG_MOODY_LONG_TERM")</f>
        <v>#NAME?</v>
      </c>
      <c r="M16" t="e" cm="1">
        <f t="array" aca="1" ref="M16" ca="1">_xll.BDP(E16,"RTG_SP_LT_LC_ISSUER_CREDIT")</f>
        <v>#NAME?</v>
      </c>
      <c r="N16" t="e" cm="1">
        <f t="array" aca="1" ref="N16" ca="1">_xll.BDP(E16,"RTG_FITCH_LT_ISSUER_DEFAULT")</f>
        <v>#NAME?</v>
      </c>
      <c r="O16" t="e" cm="1">
        <f t="array" aca="1" ref="O16" ca="1">_xll.BDP(E16,"BEST_ANALYST_RATING")</f>
        <v>#NAME?</v>
      </c>
      <c r="P16" t="e" cm="1">
        <f t="array" aca="1" ref="P16" ca="1">_xll.BDP(E16,"BB_ISSR_COMP_BSE_ON_RTGS")</f>
        <v>#NAME?</v>
      </c>
    </row>
    <row r="17" spans="1:16" x14ac:dyDescent="0.35">
      <c r="A17" t="s">
        <v>10</v>
      </c>
      <c r="B17" t="s">
        <v>11</v>
      </c>
      <c r="C17" t="s">
        <v>65</v>
      </c>
      <c r="D17" t="s">
        <v>66</v>
      </c>
      <c r="E17" t="s">
        <v>67</v>
      </c>
      <c r="F17" t="s">
        <v>68</v>
      </c>
      <c r="G17">
        <v>122143598.7</v>
      </c>
      <c r="H17">
        <v>7.4153132374065239E-3</v>
      </c>
      <c r="I17">
        <v>2.484334226952685E-2</v>
      </c>
      <c r="J17">
        <v>1.7390339588668789E-2</v>
      </c>
      <c r="K17" t="e" cm="1">
        <f t="array" aca="1" ref="K17" ca="1">_xll.BDP(E17,"BB_1YR_DEFAULT_PROB")</f>
        <v>#NAME?</v>
      </c>
      <c r="L17" t="e" cm="1">
        <f t="array" aca="1" ref="L17" ca="1">_xll.BDP(E17,"RTG_MOODY_LONG_TERM")</f>
        <v>#NAME?</v>
      </c>
      <c r="M17" t="e" cm="1">
        <f t="array" aca="1" ref="M17" ca="1">_xll.BDP(E17,"RTG_SP_LT_LC_ISSUER_CREDIT")</f>
        <v>#NAME?</v>
      </c>
      <c r="N17" t="e" cm="1">
        <f t="array" aca="1" ref="N17" ca="1">_xll.BDP(E17,"RTG_FITCH_LT_ISSUER_DEFAULT")</f>
        <v>#NAME?</v>
      </c>
      <c r="O17" t="e" cm="1">
        <f t="array" aca="1" ref="O17" ca="1">_xll.BDP(E17,"BEST_ANALYST_RATING")</f>
        <v>#NAME?</v>
      </c>
      <c r="P17" t="e" cm="1">
        <f t="array" aca="1" ref="P17" ca="1">_xll.BDP(E17,"BB_ISSR_COMP_BSE_ON_RTGS")</f>
        <v>#NAME?</v>
      </c>
    </row>
    <row r="18" spans="1:16" x14ac:dyDescent="0.35">
      <c r="A18" t="s">
        <v>10</v>
      </c>
      <c r="B18" t="s">
        <v>11</v>
      </c>
      <c r="C18" t="s">
        <v>69</v>
      </c>
      <c r="D18" t="s">
        <v>70</v>
      </c>
      <c r="E18" t="s">
        <v>71</v>
      </c>
      <c r="F18" t="s">
        <v>19</v>
      </c>
      <c r="G18">
        <v>118552234.94</v>
      </c>
      <c r="H18">
        <v>7.1972822680122176E-3</v>
      </c>
      <c r="I18">
        <v>2.411287845436455E-2</v>
      </c>
      <c r="J18">
        <v>1.6879014918055189E-2</v>
      </c>
      <c r="K18" t="e" cm="1">
        <f t="array" aca="1" ref="K18" ca="1">_xll.BDP(E18,"BB_1YR_DEFAULT_PROB")</f>
        <v>#NAME?</v>
      </c>
      <c r="L18" t="e" cm="1">
        <f t="array" aca="1" ref="L18" ca="1">_xll.BDP(E18,"RTG_MOODY_LONG_TERM")</f>
        <v>#NAME?</v>
      </c>
      <c r="M18" t="e" cm="1">
        <f t="array" aca="1" ref="M18" ca="1">_xll.BDP(E18,"RTG_SP_LT_LC_ISSUER_CREDIT")</f>
        <v>#NAME?</v>
      </c>
      <c r="N18" t="e" cm="1">
        <f t="array" aca="1" ref="N18" ca="1">_xll.BDP(E18,"RTG_FITCH_LT_ISSUER_DEFAULT")</f>
        <v>#NAME?</v>
      </c>
      <c r="O18" t="e" cm="1">
        <f t="array" aca="1" ref="O18" ca="1">_xll.BDP(E18,"BEST_ANALYST_RATING")</f>
        <v>#NAME?</v>
      </c>
      <c r="P18" t="e" cm="1">
        <f t="array" aca="1" ref="P18" ca="1">_xll.BDP(E18,"BB_ISSR_COMP_BSE_ON_RTGS")</f>
        <v>#NAME?</v>
      </c>
    </row>
    <row r="19" spans="1:16" x14ac:dyDescent="0.35">
      <c r="A19" t="s">
        <v>10</v>
      </c>
      <c r="B19" t="s">
        <v>11</v>
      </c>
      <c r="C19" t="s">
        <v>72</v>
      </c>
      <c r="D19" t="s">
        <v>73</v>
      </c>
      <c r="E19" t="s">
        <v>74</v>
      </c>
      <c r="F19" t="s">
        <v>38</v>
      </c>
      <c r="G19">
        <v>113136953.84999999</v>
      </c>
      <c r="H19">
        <v>6.8685216454471149E-3</v>
      </c>
      <c r="I19">
        <v>2.3011439794979729E-2</v>
      </c>
      <c r="J19">
        <v>1.610800785648581E-2</v>
      </c>
      <c r="K19" t="e" cm="1">
        <f t="array" aca="1" ref="K19" ca="1">_xll.BDP(E19,"BB_1YR_DEFAULT_PROB")</f>
        <v>#NAME?</v>
      </c>
      <c r="L19" t="e" cm="1">
        <f t="array" aca="1" ref="L19" ca="1">_xll.BDP(E19,"RTG_MOODY_LONG_TERM")</f>
        <v>#NAME?</v>
      </c>
      <c r="M19" t="e" cm="1">
        <f t="array" aca="1" ref="M19" ca="1">_xll.BDP(E19,"RTG_SP_LT_LC_ISSUER_CREDIT")</f>
        <v>#NAME?</v>
      </c>
      <c r="N19" t="e" cm="1">
        <f t="array" aca="1" ref="N19" ca="1">_xll.BDP(E19,"RTG_FITCH_LT_ISSUER_DEFAULT")</f>
        <v>#NAME?</v>
      </c>
      <c r="O19" t="e" cm="1">
        <f t="array" aca="1" ref="O19" ca="1">_xll.BDP(E19,"BEST_ANALYST_RATING")</f>
        <v>#NAME?</v>
      </c>
      <c r="P19" t="e" cm="1">
        <f t="array" aca="1" ref="P19" ca="1">_xll.BDP(E19,"BB_ISSR_COMP_BSE_ON_RTGS")</f>
        <v>#NAME?</v>
      </c>
    </row>
    <row r="20" spans="1:16" x14ac:dyDescent="0.35">
      <c r="A20" t="s">
        <v>10</v>
      </c>
      <c r="B20" t="s">
        <v>11</v>
      </c>
      <c r="C20" t="s">
        <v>75</v>
      </c>
      <c r="D20" t="s">
        <v>76</v>
      </c>
      <c r="E20" t="s">
        <v>77</v>
      </c>
      <c r="F20" t="s">
        <v>30</v>
      </c>
      <c r="G20">
        <v>112366772.53</v>
      </c>
      <c r="H20">
        <v>6.8217640928763361E-3</v>
      </c>
      <c r="I20">
        <v>2.2854789112127721E-2</v>
      </c>
      <c r="J20">
        <v>1.59983523784894E-2</v>
      </c>
      <c r="K20" t="e" cm="1">
        <f t="array" aca="1" ref="K20" ca="1">_xll.BDP(E20,"BB_1YR_DEFAULT_PROB")</f>
        <v>#NAME?</v>
      </c>
      <c r="L20" t="e" cm="1">
        <f t="array" aca="1" ref="L20" ca="1">_xll.BDP(E20,"RTG_MOODY_LONG_TERM")</f>
        <v>#NAME?</v>
      </c>
      <c r="M20" t="e" cm="1">
        <f t="array" aca="1" ref="M20" ca="1">_xll.BDP(E20,"RTG_SP_LT_LC_ISSUER_CREDIT")</f>
        <v>#NAME?</v>
      </c>
      <c r="N20" t="e" cm="1">
        <f t="array" aca="1" ref="N20" ca="1">_xll.BDP(E20,"RTG_FITCH_LT_ISSUER_DEFAULT")</f>
        <v>#NAME?</v>
      </c>
      <c r="O20" t="e" cm="1">
        <f t="array" aca="1" ref="O20" ca="1">_xll.BDP(E20,"BEST_ANALYST_RATING")</f>
        <v>#NAME?</v>
      </c>
      <c r="P20" t="e" cm="1">
        <f t="array" aca="1" ref="P20" ca="1">_xll.BDP(E20,"BB_ISSR_COMP_BSE_ON_RTGS")</f>
        <v>#NAME?</v>
      </c>
    </row>
    <row r="21" spans="1:16" x14ac:dyDescent="0.35">
      <c r="A21" t="s">
        <v>10</v>
      </c>
      <c r="B21" t="s">
        <v>11</v>
      </c>
      <c r="C21" t="s">
        <v>78</v>
      </c>
      <c r="D21" t="s">
        <v>79</v>
      </c>
      <c r="E21" t="s">
        <v>80</v>
      </c>
      <c r="F21" t="s">
        <v>19</v>
      </c>
      <c r="G21">
        <v>112256692.86</v>
      </c>
      <c r="H21">
        <v>6.8150811783166858E-3</v>
      </c>
      <c r="I21">
        <v>2.2832399507205049E-2</v>
      </c>
      <c r="J21">
        <v>1.5982679655043529E-2</v>
      </c>
      <c r="K21" t="e" cm="1">
        <f t="array" aca="1" ref="K21" ca="1">_xll.BDP(E21,"BB_1YR_DEFAULT_PROB")</f>
        <v>#NAME?</v>
      </c>
      <c r="L21" t="e" cm="1">
        <f t="array" aca="1" ref="L21" ca="1">_xll.BDP(E21,"RTG_MOODY_LONG_TERM")</f>
        <v>#NAME?</v>
      </c>
      <c r="M21" t="e" cm="1">
        <f t="array" aca="1" ref="M21" ca="1">_xll.BDP(E21,"RTG_SP_LT_LC_ISSUER_CREDIT")</f>
        <v>#NAME?</v>
      </c>
      <c r="N21" t="e" cm="1">
        <f t="array" aca="1" ref="N21" ca="1">_xll.BDP(E21,"RTG_FITCH_LT_ISSUER_DEFAULT")</f>
        <v>#NAME?</v>
      </c>
      <c r="O21" t="e" cm="1">
        <f t="array" aca="1" ref="O21" ca="1">_xll.BDP(E21,"BEST_ANALYST_RATING")</f>
        <v>#NAME?</v>
      </c>
      <c r="P21" t="e" cm="1">
        <f t="array" aca="1" ref="P21" ca="1">_xll.BDP(E21,"BB_ISSR_COMP_BSE_ON_RTGS")</f>
        <v>#NAME?</v>
      </c>
    </row>
    <row r="22" spans="1:16" x14ac:dyDescent="0.35">
      <c r="A22" t="s">
        <v>10</v>
      </c>
      <c r="B22" t="s">
        <v>11</v>
      </c>
      <c r="C22" t="s">
        <v>81</v>
      </c>
      <c r="D22" t="s">
        <v>82</v>
      </c>
      <c r="E22" t="s">
        <v>83</v>
      </c>
      <c r="F22" t="s">
        <v>30</v>
      </c>
      <c r="G22">
        <v>107333787.78</v>
      </c>
      <c r="H22">
        <v>6.5162126039931111E-3</v>
      </c>
      <c r="I22">
        <v>2.1831107444710469E-2</v>
      </c>
      <c r="J22">
        <v>1.528177521129733E-2</v>
      </c>
      <c r="K22" t="e" cm="1">
        <f t="array" aca="1" ref="K22" ca="1">_xll.BDP(E22,"BB_1YR_DEFAULT_PROB")</f>
        <v>#NAME?</v>
      </c>
      <c r="L22" t="e" cm="1">
        <f t="array" aca="1" ref="L22" ca="1">_xll.BDP(E22,"RTG_MOODY_LONG_TERM")</f>
        <v>#NAME?</v>
      </c>
      <c r="M22" t="e" cm="1">
        <f t="array" aca="1" ref="M22" ca="1">_xll.BDP(E22,"RTG_SP_LT_LC_ISSUER_CREDIT")</f>
        <v>#NAME?</v>
      </c>
      <c r="N22" t="e" cm="1">
        <f t="array" aca="1" ref="N22" ca="1">_xll.BDP(E22,"RTG_FITCH_LT_ISSUER_DEFAULT")</f>
        <v>#NAME?</v>
      </c>
      <c r="O22" t="e" cm="1">
        <f t="array" aca="1" ref="O22" ca="1">_xll.BDP(E22,"BEST_ANALYST_RATING")</f>
        <v>#NAME?</v>
      </c>
      <c r="P22" t="e" cm="1">
        <f t="array" aca="1" ref="P22" ca="1">_xll.BDP(E22,"BB_ISSR_COMP_BSE_ON_RTGS")</f>
        <v>#NAME?</v>
      </c>
    </row>
    <row r="23" spans="1:16" x14ac:dyDescent="0.35">
      <c r="A23" t="s">
        <v>10</v>
      </c>
      <c r="B23" t="s">
        <v>11</v>
      </c>
      <c r="C23" t="s">
        <v>84</v>
      </c>
      <c r="D23" t="s">
        <v>85</v>
      </c>
      <c r="E23" t="s">
        <v>86</v>
      </c>
      <c r="F23" t="s">
        <v>38</v>
      </c>
      <c r="G23">
        <v>103435800.63</v>
      </c>
      <c r="H23">
        <v>6.2795665904461437E-3</v>
      </c>
      <c r="I23">
        <v>2.1038278103178491E-2</v>
      </c>
      <c r="J23">
        <v>1.472679467222494E-2</v>
      </c>
      <c r="K23" t="e" cm="1">
        <f t="array" aca="1" ref="K23" ca="1">_xll.BDP(E23,"BB_1YR_DEFAULT_PROB")</f>
        <v>#NAME?</v>
      </c>
      <c r="L23" t="e" cm="1">
        <f t="array" aca="1" ref="L23" ca="1">_xll.BDP(E23,"RTG_MOODY_LONG_TERM")</f>
        <v>#NAME?</v>
      </c>
      <c r="M23" t="e" cm="1">
        <f t="array" aca="1" ref="M23" ca="1">_xll.BDP(E23,"RTG_SP_LT_LC_ISSUER_CREDIT")</f>
        <v>#NAME?</v>
      </c>
      <c r="N23" t="e" cm="1">
        <f t="array" aca="1" ref="N23" ca="1">_xll.BDP(E23,"RTG_FITCH_LT_ISSUER_DEFAULT")</f>
        <v>#NAME?</v>
      </c>
      <c r="O23" t="e" cm="1">
        <f t="array" aca="1" ref="O23" ca="1">_xll.BDP(E23,"BEST_ANALYST_RATING")</f>
        <v>#NAME?</v>
      </c>
      <c r="P23" t="e" cm="1">
        <f t="array" aca="1" ref="P23" ca="1">_xll.BDP(E23,"BB_ISSR_COMP_BSE_ON_RTGS")</f>
        <v>#NAME?</v>
      </c>
    </row>
    <row r="24" spans="1:16" x14ac:dyDescent="0.35">
      <c r="A24" t="s">
        <v>10</v>
      </c>
      <c r="B24" t="s">
        <v>11</v>
      </c>
      <c r="C24" t="s">
        <v>87</v>
      </c>
      <c r="D24" t="s">
        <v>88</v>
      </c>
      <c r="E24" t="s">
        <v>89</v>
      </c>
      <c r="F24" t="s">
        <v>19</v>
      </c>
      <c r="G24">
        <v>102714602.58</v>
      </c>
      <c r="H24">
        <v>6.2357828023158141E-3</v>
      </c>
      <c r="I24">
        <v>2.0891590350476271E-2</v>
      </c>
      <c r="J24">
        <v>1.462411324533339E-2</v>
      </c>
      <c r="K24" t="e" cm="1">
        <f t="array" aca="1" ref="K24" ca="1">_xll.BDP(E24,"BB_1YR_DEFAULT_PROB")</f>
        <v>#NAME?</v>
      </c>
      <c r="L24" t="e" cm="1">
        <f t="array" aca="1" ref="L24" ca="1">_xll.BDP(E24,"RTG_MOODY_LONG_TERM")</f>
        <v>#NAME?</v>
      </c>
      <c r="M24" t="e" cm="1">
        <f t="array" aca="1" ref="M24" ca="1">_xll.BDP(E24,"RTG_SP_LT_LC_ISSUER_CREDIT")</f>
        <v>#NAME?</v>
      </c>
      <c r="N24" t="e" cm="1">
        <f t="array" aca="1" ref="N24" ca="1">_xll.BDP(E24,"RTG_FITCH_LT_ISSUER_DEFAULT")</f>
        <v>#NAME?</v>
      </c>
      <c r="O24" t="e" cm="1">
        <f t="array" aca="1" ref="O24" ca="1">_xll.BDP(E24,"BEST_ANALYST_RATING")</f>
        <v>#NAME?</v>
      </c>
      <c r="P24" t="e" cm="1">
        <f t="array" aca="1" ref="P24" ca="1">_xll.BDP(E24,"BB_ISSR_COMP_BSE_ON_RTGS")</f>
        <v>#NAME?</v>
      </c>
    </row>
    <row r="25" spans="1:16" x14ac:dyDescent="0.35">
      <c r="A25" t="s">
        <v>10</v>
      </c>
      <c r="B25" t="s">
        <v>11</v>
      </c>
      <c r="C25" t="s">
        <v>90</v>
      </c>
      <c r="D25" t="s">
        <v>91</v>
      </c>
      <c r="E25" t="s">
        <v>92</v>
      </c>
      <c r="F25" t="s">
        <v>19</v>
      </c>
      <c r="G25">
        <v>102198584.98999999</v>
      </c>
      <c r="H25">
        <v>6.2044554785216314E-3</v>
      </c>
      <c r="I25">
        <v>2.0786635185065159E-2</v>
      </c>
      <c r="J25">
        <v>1.455064462954561E-2</v>
      </c>
      <c r="K25" t="e" cm="1">
        <f t="array" aca="1" ref="K25" ca="1">_xll.BDP(E25,"BB_1YR_DEFAULT_PROB")</f>
        <v>#NAME?</v>
      </c>
      <c r="L25" t="e" cm="1">
        <f t="array" aca="1" ref="L25" ca="1">_xll.BDP(E25,"RTG_MOODY_LONG_TERM")</f>
        <v>#NAME?</v>
      </c>
      <c r="M25" t="e" cm="1">
        <f t="array" aca="1" ref="M25" ca="1">_xll.BDP(E25,"RTG_SP_LT_LC_ISSUER_CREDIT")</f>
        <v>#NAME?</v>
      </c>
      <c r="N25" t="e" cm="1">
        <f t="array" aca="1" ref="N25" ca="1">_xll.BDP(E25,"RTG_FITCH_LT_ISSUER_DEFAULT")</f>
        <v>#NAME?</v>
      </c>
      <c r="O25" t="e" cm="1">
        <f t="array" aca="1" ref="O25" ca="1">_xll.BDP(E25,"BEST_ANALYST_RATING")</f>
        <v>#NAME?</v>
      </c>
      <c r="P25" t="e" cm="1">
        <f t="array" aca="1" ref="P25" ca="1">_xll.BDP(E25,"BB_ISSR_COMP_BSE_ON_RTGS")</f>
        <v>#NAME?</v>
      </c>
    </row>
    <row r="26" spans="1:16" x14ac:dyDescent="0.35">
      <c r="A26" t="s">
        <v>10</v>
      </c>
      <c r="B26" t="s">
        <v>11</v>
      </c>
      <c r="C26" t="s">
        <v>93</v>
      </c>
      <c r="D26" t="s">
        <v>94</v>
      </c>
      <c r="E26" t="s">
        <v>95</v>
      </c>
      <c r="F26" t="s">
        <v>30</v>
      </c>
      <c r="G26">
        <v>100201366.62</v>
      </c>
      <c r="H26">
        <v>6.0832047541719454E-3</v>
      </c>
      <c r="I26">
        <v>2.0380411853830559E-2</v>
      </c>
      <c r="J26">
        <v>1.426628829768139E-2</v>
      </c>
      <c r="K26" t="e" cm="1">
        <f t="array" aca="1" ref="K26" ca="1">_xll.BDP(E26,"BB_1YR_DEFAULT_PROB")</f>
        <v>#NAME?</v>
      </c>
      <c r="L26" t="e" cm="1">
        <f t="array" aca="1" ref="L26" ca="1">_xll.BDP(E26,"RTG_MOODY_LONG_TERM")</f>
        <v>#NAME?</v>
      </c>
      <c r="M26" t="e" cm="1">
        <f t="array" aca="1" ref="M26" ca="1">_xll.BDP(E26,"RTG_SP_LT_LC_ISSUER_CREDIT")</f>
        <v>#NAME?</v>
      </c>
      <c r="N26" t="e" cm="1">
        <f t="array" aca="1" ref="N26" ca="1">_xll.BDP(E26,"RTG_FITCH_LT_ISSUER_DEFAULT")</f>
        <v>#NAME?</v>
      </c>
      <c r="O26" t="e" cm="1">
        <f t="array" aca="1" ref="O26" ca="1">_xll.BDP(E26,"BEST_ANALYST_RATING")</f>
        <v>#NAME?</v>
      </c>
      <c r="P26" t="e" cm="1">
        <f t="array" aca="1" ref="P26" ca="1">_xll.BDP(E26,"BB_ISSR_COMP_BSE_ON_RTGS")</f>
        <v>#NAME?</v>
      </c>
    </row>
    <row r="27" spans="1:16" x14ac:dyDescent="0.35">
      <c r="A27" t="s">
        <v>10</v>
      </c>
      <c r="B27" t="s">
        <v>11</v>
      </c>
      <c r="C27" t="s">
        <v>96</v>
      </c>
      <c r="D27" t="s">
        <v>97</v>
      </c>
      <c r="E27" t="s">
        <v>98</v>
      </c>
      <c r="F27" t="s">
        <v>23</v>
      </c>
      <c r="G27">
        <v>99813361.519999996</v>
      </c>
      <c r="H27">
        <v>6.0596490428220769E-3</v>
      </c>
      <c r="I27">
        <v>2.0301493731192811E-2</v>
      </c>
      <c r="J27">
        <v>1.421104561183497E-2</v>
      </c>
      <c r="K27" t="e" cm="1">
        <f t="array" aca="1" ref="K27" ca="1">_xll.BDP(E27,"BB_1YR_DEFAULT_PROB")</f>
        <v>#NAME?</v>
      </c>
      <c r="L27" t="e" cm="1">
        <f t="array" aca="1" ref="L27" ca="1">_xll.BDP(E27,"RTG_MOODY_LONG_TERM")</f>
        <v>#NAME?</v>
      </c>
      <c r="M27" t="e" cm="1">
        <f t="array" aca="1" ref="M27" ca="1">_xll.BDP(E27,"RTG_SP_LT_LC_ISSUER_CREDIT")</f>
        <v>#NAME?</v>
      </c>
      <c r="N27" t="e" cm="1">
        <f t="array" aca="1" ref="N27" ca="1">_xll.BDP(E27,"RTG_FITCH_LT_ISSUER_DEFAULT")</f>
        <v>#NAME?</v>
      </c>
      <c r="O27" t="e" cm="1">
        <f t="array" aca="1" ref="O27" ca="1">_xll.BDP(E27,"BEST_ANALYST_RATING")</f>
        <v>#NAME?</v>
      </c>
      <c r="P27" t="e" cm="1">
        <f t="array" aca="1" ref="P27" ca="1">_xll.BDP(E27,"BB_ISSR_COMP_BSE_ON_RTGS")</f>
        <v>#NAME?</v>
      </c>
    </row>
    <row r="28" spans="1:16" x14ac:dyDescent="0.35">
      <c r="A28" t="s">
        <v>10</v>
      </c>
      <c r="B28" t="s">
        <v>11</v>
      </c>
      <c r="C28" t="s">
        <v>99</v>
      </c>
      <c r="D28" t="s">
        <v>100</v>
      </c>
      <c r="E28" t="s">
        <v>101</v>
      </c>
      <c r="F28" t="s">
        <v>19</v>
      </c>
      <c r="G28">
        <v>98668754.50999999</v>
      </c>
      <c r="H28">
        <v>5.9901601821431968E-3</v>
      </c>
      <c r="I28">
        <v>2.006868690368668E-2</v>
      </c>
      <c r="J28">
        <v>1.404808083258067E-2</v>
      </c>
      <c r="K28" t="e" cm="1">
        <f t="array" aca="1" ref="K28" ca="1">_xll.BDP(E28,"BB_1YR_DEFAULT_PROB")</f>
        <v>#NAME?</v>
      </c>
      <c r="L28" t="e" cm="1">
        <f t="array" aca="1" ref="L28" ca="1">_xll.BDP(E28,"RTG_MOODY_LONG_TERM")</f>
        <v>#NAME?</v>
      </c>
      <c r="M28" t="e" cm="1">
        <f t="array" aca="1" ref="M28" ca="1">_xll.BDP(E28,"RTG_SP_LT_LC_ISSUER_CREDIT")</f>
        <v>#NAME?</v>
      </c>
      <c r="N28" t="e" cm="1">
        <f t="array" aca="1" ref="N28" ca="1">_xll.BDP(E28,"RTG_FITCH_LT_ISSUER_DEFAULT")</f>
        <v>#NAME?</v>
      </c>
      <c r="O28" t="e" cm="1">
        <f t="array" aca="1" ref="O28" ca="1">_xll.BDP(E28,"BEST_ANALYST_RATING")</f>
        <v>#NAME?</v>
      </c>
      <c r="P28" t="e" cm="1">
        <f t="array" aca="1" ref="P28" ca="1">_xll.BDP(E28,"BB_ISSR_COMP_BSE_ON_RTGS")</f>
        <v>#NAME?</v>
      </c>
    </row>
    <row r="29" spans="1:16" x14ac:dyDescent="0.35">
      <c r="A29" t="s">
        <v>10</v>
      </c>
      <c r="B29" t="s">
        <v>11</v>
      </c>
      <c r="C29" t="s">
        <v>102</v>
      </c>
      <c r="D29" t="s">
        <v>103</v>
      </c>
      <c r="E29" t="s">
        <v>104</v>
      </c>
      <c r="F29" t="s">
        <v>68</v>
      </c>
      <c r="G29">
        <v>96186495.959999993</v>
      </c>
      <c r="H29">
        <v>5.8394627663114458E-3</v>
      </c>
      <c r="I29">
        <v>1.9563809043402141E-2</v>
      </c>
      <c r="J29">
        <v>1.3694666330381499E-2</v>
      </c>
      <c r="K29" t="e" cm="1">
        <f t="array" aca="1" ref="K29" ca="1">_xll.BDP(E29,"BB_1YR_DEFAULT_PROB")</f>
        <v>#NAME?</v>
      </c>
      <c r="L29" t="e" cm="1">
        <f t="array" aca="1" ref="L29" ca="1">_xll.BDP(E29,"RTG_MOODY_LONG_TERM")</f>
        <v>#NAME?</v>
      </c>
      <c r="M29" t="e" cm="1">
        <f t="array" aca="1" ref="M29" ca="1">_xll.BDP(E29,"RTG_SP_LT_LC_ISSUER_CREDIT")</f>
        <v>#NAME?</v>
      </c>
      <c r="N29" t="e" cm="1">
        <f t="array" aca="1" ref="N29" ca="1">_xll.BDP(E29,"RTG_FITCH_LT_ISSUER_DEFAULT")</f>
        <v>#NAME?</v>
      </c>
      <c r="O29" t="e" cm="1">
        <f t="array" aca="1" ref="O29" ca="1">_xll.BDP(E29,"BEST_ANALYST_RATING")</f>
        <v>#NAME?</v>
      </c>
      <c r="P29" t="e" cm="1">
        <f t="array" aca="1" ref="P29" ca="1">_xll.BDP(E29,"BB_ISSR_COMP_BSE_ON_RTGS")</f>
        <v>#NAME?</v>
      </c>
    </row>
    <row r="30" spans="1:16" x14ac:dyDescent="0.35">
      <c r="A30" t="s">
        <v>10</v>
      </c>
      <c r="B30" t="s">
        <v>11</v>
      </c>
      <c r="C30" t="s">
        <v>105</v>
      </c>
      <c r="D30" t="s">
        <v>106</v>
      </c>
      <c r="E30" t="s">
        <v>107</v>
      </c>
      <c r="F30" t="s">
        <v>30</v>
      </c>
      <c r="G30">
        <v>95715809.019999996</v>
      </c>
      <c r="H30">
        <v>5.8108874571343441E-3</v>
      </c>
      <c r="I30">
        <v>1.946807388514029E-2</v>
      </c>
      <c r="J30">
        <v>1.36276517195982E-2</v>
      </c>
      <c r="K30" t="e" cm="1">
        <f t="array" aca="1" ref="K30" ca="1">_xll.BDP(E30,"BB_1YR_DEFAULT_PROB")</f>
        <v>#NAME?</v>
      </c>
      <c r="L30" t="e" cm="1">
        <f t="array" aca="1" ref="L30" ca="1">_xll.BDP(E30,"RTG_MOODY_LONG_TERM")</f>
        <v>#NAME?</v>
      </c>
      <c r="M30" t="e" cm="1">
        <f t="array" aca="1" ref="M30" ca="1">_xll.BDP(E30,"RTG_SP_LT_LC_ISSUER_CREDIT")</f>
        <v>#NAME?</v>
      </c>
      <c r="N30" t="e" cm="1">
        <f t="array" aca="1" ref="N30" ca="1">_xll.BDP(E30,"RTG_FITCH_LT_ISSUER_DEFAULT")</f>
        <v>#NAME?</v>
      </c>
      <c r="O30" t="e" cm="1">
        <f t="array" aca="1" ref="O30" ca="1">_xll.BDP(E30,"BEST_ANALYST_RATING")</f>
        <v>#NAME?</v>
      </c>
      <c r="P30" t="e" cm="1">
        <f t="array" aca="1" ref="P30" ca="1">_xll.BDP(E30,"BB_ISSR_COMP_BSE_ON_RTGS")</f>
        <v>#NAME?</v>
      </c>
    </row>
    <row r="31" spans="1:16" x14ac:dyDescent="0.35">
      <c r="A31" t="s">
        <v>10</v>
      </c>
      <c r="B31" t="s">
        <v>11</v>
      </c>
      <c r="C31" t="s">
        <v>108</v>
      </c>
      <c r="D31" t="s">
        <v>109</v>
      </c>
      <c r="E31" t="s">
        <v>110</v>
      </c>
      <c r="F31" t="s">
        <v>15</v>
      </c>
      <c r="G31">
        <v>85441720.260000005</v>
      </c>
      <c r="H31">
        <v>5.1871496010765829E-3</v>
      </c>
      <c r="I31">
        <v>1.73783802271117E-2</v>
      </c>
      <c r="J31">
        <v>1.216486615897819E-2</v>
      </c>
      <c r="K31" t="e" cm="1">
        <f t="array" aca="1" ref="K31" ca="1">_xll.BDP(E31,"BB_1YR_DEFAULT_PROB")</f>
        <v>#NAME?</v>
      </c>
      <c r="L31" t="e" cm="1">
        <f t="array" aca="1" ref="L31" ca="1">_xll.BDP(E31,"RTG_MOODY_LONG_TERM")</f>
        <v>#NAME?</v>
      </c>
      <c r="M31" t="e" cm="1">
        <f t="array" aca="1" ref="M31" ca="1">_xll.BDP(E31,"RTG_SP_LT_LC_ISSUER_CREDIT")</f>
        <v>#NAME?</v>
      </c>
      <c r="N31" t="e" cm="1">
        <f t="array" aca="1" ref="N31" ca="1">_xll.BDP(E31,"RTG_FITCH_LT_ISSUER_DEFAULT")</f>
        <v>#NAME?</v>
      </c>
      <c r="O31" t="e" cm="1">
        <f t="array" aca="1" ref="O31" ca="1">_xll.BDP(E31,"BEST_ANALYST_RATING")</f>
        <v>#NAME?</v>
      </c>
      <c r="P31" t="e" cm="1">
        <f t="array" aca="1" ref="P31" ca="1">_xll.BDP(E31,"BB_ISSR_COMP_BSE_ON_RTGS")</f>
        <v>#NAME?</v>
      </c>
    </row>
    <row r="32" spans="1:16" x14ac:dyDescent="0.35">
      <c r="A32" t="s">
        <v>10</v>
      </c>
      <c r="B32" t="s">
        <v>11</v>
      </c>
      <c r="C32" t="s">
        <v>111</v>
      </c>
      <c r="D32" t="s">
        <v>112</v>
      </c>
      <c r="E32" t="s">
        <v>113</v>
      </c>
      <c r="F32" t="s">
        <v>23</v>
      </c>
      <c r="G32">
        <v>80140406.209999993</v>
      </c>
      <c r="H32">
        <v>4.8653078945196408E-3</v>
      </c>
      <c r="I32">
        <v>1.630012184252063E-2</v>
      </c>
      <c r="J32">
        <v>1.141008528976444E-2</v>
      </c>
      <c r="K32" t="e" cm="1">
        <f t="array" aca="1" ref="K32" ca="1">_xll.BDP(E32,"BB_1YR_DEFAULT_PROB")</f>
        <v>#NAME?</v>
      </c>
      <c r="L32" t="e" cm="1">
        <f t="array" aca="1" ref="L32" ca="1">_xll.BDP(E32,"RTG_MOODY_LONG_TERM")</f>
        <v>#NAME?</v>
      </c>
      <c r="M32" t="e" cm="1">
        <f t="array" aca="1" ref="M32" ca="1">_xll.BDP(E32,"RTG_SP_LT_LC_ISSUER_CREDIT")</f>
        <v>#NAME?</v>
      </c>
      <c r="N32" t="e" cm="1">
        <f t="array" aca="1" ref="N32" ca="1">_xll.BDP(E32,"RTG_FITCH_LT_ISSUER_DEFAULT")</f>
        <v>#NAME?</v>
      </c>
      <c r="O32" t="e" cm="1">
        <f t="array" aca="1" ref="O32" ca="1">_xll.BDP(E32,"BEST_ANALYST_RATING")</f>
        <v>#NAME?</v>
      </c>
      <c r="P32" t="e" cm="1">
        <f t="array" aca="1" ref="P32" ca="1">_xll.BDP(E32,"BB_ISSR_COMP_BSE_ON_RTGS")</f>
        <v>#NAME?</v>
      </c>
    </row>
    <row r="33" spans="1:16" x14ac:dyDescent="0.35">
      <c r="A33" t="s">
        <v>10</v>
      </c>
      <c r="B33" t="s">
        <v>11</v>
      </c>
      <c r="C33" t="s">
        <v>114</v>
      </c>
      <c r="D33" t="s">
        <v>115</v>
      </c>
      <c r="E33" t="s">
        <v>116</v>
      </c>
      <c r="F33" t="s">
        <v>61</v>
      </c>
      <c r="G33">
        <v>78490527.070000008</v>
      </c>
      <c r="H33">
        <v>4.7651440647555289E-3</v>
      </c>
      <c r="I33">
        <v>1.5964545417602571E-2</v>
      </c>
      <c r="J33">
        <v>1.1175181792321799E-2</v>
      </c>
      <c r="K33" t="e" cm="1">
        <f t="array" aca="1" ref="K33" ca="1">_xll.BDP(E33,"BB_1YR_DEFAULT_PROB")</f>
        <v>#NAME?</v>
      </c>
      <c r="L33" t="e" cm="1">
        <f t="array" aca="1" ref="L33" ca="1">_xll.BDP(E33,"RTG_MOODY_LONG_TERM")</f>
        <v>#NAME?</v>
      </c>
      <c r="M33" t="e" cm="1">
        <f t="array" aca="1" ref="M33" ca="1">_xll.BDP(E33,"RTG_SP_LT_LC_ISSUER_CREDIT")</f>
        <v>#NAME?</v>
      </c>
      <c r="N33" t="e" cm="1">
        <f t="array" aca="1" ref="N33" ca="1">_xll.BDP(E33,"RTG_FITCH_LT_ISSUER_DEFAULT")</f>
        <v>#NAME?</v>
      </c>
      <c r="O33" t="e" cm="1">
        <f t="array" aca="1" ref="O33" ca="1">_xll.BDP(E33,"BEST_ANALYST_RATING")</f>
        <v>#NAME?</v>
      </c>
      <c r="P33" t="e" cm="1">
        <f t="array" aca="1" ref="P33" ca="1">_xll.BDP(E33,"BB_ISSR_COMP_BSE_ON_RTGS")</f>
        <v>#NAME?</v>
      </c>
    </row>
    <row r="34" spans="1:16" x14ac:dyDescent="0.35">
      <c r="A34" t="s">
        <v>10</v>
      </c>
      <c r="B34" t="s">
        <v>11</v>
      </c>
      <c r="C34" t="s">
        <v>117</v>
      </c>
      <c r="D34" t="s">
        <v>118</v>
      </c>
      <c r="E34" t="s">
        <v>119</v>
      </c>
      <c r="F34" t="s">
        <v>120</v>
      </c>
      <c r="G34">
        <v>70663718.079999998</v>
      </c>
      <c r="H34">
        <v>4.2899800698518861E-3</v>
      </c>
      <c r="I34">
        <v>1.437261512664759E-2</v>
      </c>
      <c r="J34">
        <v>1.006083058865331E-2</v>
      </c>
      <c r="K34" t="e" cm="1">
        <f t="array" aca="1" ref="K34" ca="1">_xll.BDP(E34,"BB_1YR_DEFAULT_PROB")</f>
        <v>#NAME?</v>
      </c>
      <c r="L34" t="e" cm="1">
        <f t="array" aca="1" ref="L34" ca="1">_xll.BDP(E34,"RTG_MOODY_LONG_TERM")</f>
        <v>#NAME?</v>
      </c>
      <c r="M34" t="e" cm="1">
        <f t="array" aca="1" ref="M34" ca="1">_xll.BDP(E34,"RTG_SP_LT_LC_ISSUER_CREDIT")</f>
        <v>#NAME?</v>
      </c>
      <c r="N34" t="e" cm="1">
        <f t="array" aca="1" ref="N34" ca="1">_xll.BDP(E34,"RTG_FITCH_LT_ISSUER_DEFAULT")</f>
        <v>#NAME?</v>
      </c>
      <c r="O34" t="e" cm="1">
        <f t="array" aca="1" ref="O34" ca="1">_xll.BDP(E34,"BEST_ANALYST_RATING")</f>
        <v>#NAME?</v>
      </c>
      <c r="P34" t="e" cm="1">
        <f t="array" aca="1" ref="P34" ca="1">_xll.BDP(E34,"BB_ISSR_COMP_BSE_ON_RTGS")</f>
        <v>#NAME?</v>
      </c>
    </row>
    <row r="35" spans="1:16" x14ac:dyDescent="0.35">
      <c r="A35" t="s">
        <v>10</v>
      </c>
      <c r="B35" t="s">
        <v>11</v>
      </c>
      <c r="C35" t="s">
        <v>121</v>
      </c>
      <c r="D35" t="s">
        <v>122</v>
      </c>
      <c r="E35" t="s">
        <v>123</v>
      </c>
      <c r="F35" t="s">
        <v>124</v>
      </c>
      <c r="G35">
        <v>69266602.489999995</v>
      </c>
      <c r="H35">
        <v>4.2051614642190224E-3</v>
      </c>
      <c r="I35">
        <v>1.408844943018967E-2</v>
      </c>
      <c r="J35">
        <v>9.861914601132768E-3</v>
      </c>
      <c r="K35" t="e" cm="1">
        <f t="array" aca="1" ref="K35" ca="1">_xll.BDP(E35,"BB_1YR_DEFAULT_PROB")</f>
        <v>#NAME?</v>
      </c>
      <c r="L35" t="e" cm="1">
        <f t="array" aca="1" ref="L35" ca="1">_xll.BDP(E35,"RTG_MOODY_LONG_TERM")</f>
        <v>#NAME?</v>
      </c>
      <c r="M35" t="e" cm="1">
        <f t="array" aca="1" ref="M35" ca="1">_xll.BDP(E35,"RTG_SP_LT_LC_ISSUER_CREDIT")</f>
        <v>#NAME?</v>
      </c>
      <c r="N35" t="e" cm="1">
        <f t="array" aca="1" ref="N35" ca="1">_xll.BDP(E35,"RTG_FITCH_LT_ISSUER_DEFAULT")</f>
        <v>#NAME?</v>
      </c>
      <c r="O35" t="e" cm="1">
        <f t="array" aca="1" ref="O35" ca="1">_xll.BDP(E35,"BEST_ANALYST_RATING")</f>
        <v>#NAME?</v>
      </c>
      <c r="P35" t="e" cm="1">
        <f t="array" aca="1" ref="P35" ca="1">_xll.BDP(E35,"BB_ISSR_COMP_BSE_ON_RTGS")</f>
        <v>#NAME?</v>
      </c>
    </row>
    <row r="36" spans="1:16" x14ac:dyDescent="0.35">
      <c r="A36" t="s">
        <v>10</v>
      </c>
      <c r="B36" t="s">
        <v>11</v>
      </c>
      <c r="C36" t="s">
        <v>125</v>
      </c>
      <c r="D36" t="s">
        <v>126</v>
      </c>
      <c r="E36" t="s">
        <v>127</v>
      </c>
      <c r="F36" t="s">
        <v>34</v>
      </c>
      <c r="G36">
        <v>65131929.130000003</v>
      </c>
      <c r="H36">
        <v>3.9541462786089714E-3</v>
      </c>
      <c r="I36">
        <v>1.324747940352896E-2</v>
      </c>
      <c r="J36">
        <v>9.2732355824702694E-3</v>
      </c>
      <c r="K36" t="e" cm="1">
        <f t="array" aca="1" ref="K36" ca="1">_xll.BDP(E36,"BB_1YR_DEFAULT_PROB")</f>
        <v>#NAME?</v>
      </c>
      <c r="L36" t="e" cm="1">
        <f t="array" aca="1" ref="L36" ca="1">_xll.BDP(E36,"RTG_MOODY_LONG_TERM")</f>
        <v>#NAME?</v>
      </c>
      <c r="M36" t="e" cm="1">
        <f t="array" aca="1" ref="M36" ca="1">_xll.BDP(E36,"RTG_SP_LT_LC_ISSUER_CREDIT")</f>
        <v>#NAME?</v>
      </c>
      <c r="N36" t="e" cm="1">
        <f t="array" aca="1" ref="N36" ca="1">_xll.BDP(E36,"RTG_FITCH_LT_ISSUER_DEFAULT")</f>
        <v>#NAME?</v>
      </c>
      <c r="O36" t="e" cm="1">
        <f t="array" aca="1" ref="O36" ca="1">_xll.BDP(E36,"BEST_ANALYST_RATING")</f>
        <v>#NAME?</v>
      </c>
      <c r="P36" t="e" cm="1">
        <f t="array" aca="1" ref="P36" ca="1">_xll.BDP(E36,"BB_ISSR_COMP_BSE_ON_RTGS")</f>
        <v>#NAME?</v>
      </c>
    </row>
    <row r="37" spans="1:16" x14ac:dyDescent="0.35">
      <c r="A37" t="s">
        <v>10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>
        <v>905800559.92999995</v>
      </c>
      <c r="H37">
        <v>2.9947624821845539E-2</v>
      </c>
      <c r="I37">
        <v>0.1213667727622819</v>
      </c>
      <c r="J37">
        <v>3.6410031828684561E-2</v>
      </c>
      <c r="K37" t="e" cm="1">
        <f t="array" aca="1" ref="K37" ca="1">_xll.BDP(E37,"BB_1YR_DEFAULT_PROB")</f>
        <v>#NAME?</v>
      </c>
      <c r="L37" t="e" cm="1">
        <f t="array" aca="1" ref="L37" ca="1">_xll.BDP(E37,"RTG_MOODY_LONG_TERM")</f>
        <v>#NAME?</v>
      </c>
      <c r="M37" t="e" cm="1">
        <f t="array" aca="1" ref="M37" ca="1">_xll.BDP(E37,"RTG_SP_LT_LC_ISSUER_CREDIT")</f>
        <v>#NAME?</v>
      </c>
      <c r="N37" t="e" cm="1">
        <f t="array" aca="1" ref="N37" ca="1">_xll.BDP(E37,"RTG_FITCH_LT_ISSUER_DEFAULT")</f>
        <v>#NAME?</v>
      </c>
      <c r="O37" t="e" cm="1">
        <f t="array" aca="1" ref="O37" ca="1">_xll.BDP(E37,"BEST_ANALYST_RATING")</f>
        <v>#NAME?</v>
      </c>
      <c r="P37" t="e" cm="1">
        <f t="array" aca="1" ref="P37" ca="1">_xll.BDP(E37,"BB_ISSR_COMP_BSE_ON_RTGS")</f>
        <v>#NAME?</v>
      </c>
    </row>
    <row r="38" spans="1:16" x14ac:dyDescent="0.35">
      <c r="A38" t="s">
        <v>10</v>
      </c>
      <c r="B38" t="s">
        <v>128</v>
      </c>
      <c r="C38" t="s">
        <v>133</v>
      </c>
      <c r="D38" t="s">
        <v>134</v>
      </c>
      <c r="E38" t="s">
        <v>135</v>
      </c>
      <c r="F38" t="s">
        <v>132</v>
      </c>
      <c r="G38">
        <v>832865606.57000005</v>
      </c>
      <c r="H38">
        <v>2.753624563281868E-2</v>
      </c>
      <c r="I38">
        <v>0.1115943346534395</v>
      </c>
      <c r="J38">
        <v>3.3478300396031828E-2</v>
      </c>
      <c r="K38" t="e" cm="1">
        <f t="array" aca="1" ref="K38" ca="1">_xll.BDP(E38,"BB_1YR_DEFAULT_PROB")</f>
        <v>#NAME?</v>
      </c>
      <c r="L38" t="e" cm="1">
        <f t="array" aca="1" ref="L38" ca="1">_xll.BDP(E38,"RTG_MOODY_LONG_TERM")</f>
        <v>#NAME?</v>
      </c>
      <c r="M38" t="e" cm="1">
        <f t="array" aca="1" ref="M38" ca="1">_xll.BDP(E38,"RTG_SP_LT_LC_ISSUER_CREDIT")</f>
        <v>#NAME?</v>
      </c>
      <c r="N38" t="e" cm="1">
        <f t="array" aca="1" ref="N38" ca="1">_xll.BDP(E38,"RTG_FITCH_LT_ISSUER_DEFAULT")</f>
        <v>#NAME?</v>
      </c>
      <c r="O38" t="e" cm="1">
        <f t="array" aca="1" ref="O38" ca="1">_xll.BDP(E38,"BEST_ANALYST_RATING")</f>
        <v>#NAME?</v>
      </c>
      <c r="P38" t="e" cm="1">
        <f t="array" aca="1" ref="P38" ca="1">_xll.BDP(E38,"BB_ISSR_COMP_BSE_ON_RTGS")</f>
        <v>#NAME?</v>
      </c>
    </row>
    <row r="39" spans="1:16" x14ac:dyDescent="0.35">
      <c r="A39" t="s">
        <v>10</v>
      </c>
      <c r="B39" t="s">
        <v>128</v>
      </c>
      <c r="C39" t="s">
        <v>136</v>
      </c>
      <c r="D39" t="s">
        <v>137</v>
      </c>
      <c r="E39" t="s">
        <v>138</v>
      </c>
      <c r="F39" t="s">
        <v>132</v>
      </c>
      <c r="G39">
        <v>809126442.03999996</v>
      </c>
      <c r="H39">
        <v>2.6751380150969731E-2</v>
      </c>
      <c r="I39">
        <v>0.1084135618492124</v>
      </c>
      <c r="J39">
        <v>3.2524068554763731E-2</v>
      </c>
      <c r="K39" t="e" cm="1">
        <f t="array" aca="1" ref="K39" ca="1">_xll.BDP(E39,"BB_1YR_DEFAULT_PROB")</f>
        <v>#NAME?</v>
      </c>
      <c r="L39" t="e" cm="1">
        <f t="array" aca="1" ref="L39" ca="1">_xll.BDP(E39,"RTG_MOODY_LONG_TERM")</f>
        <v>#NAME?</v>
      </c>
      <c r="M39" t="e" cm="1">
        <f t="array" aca="1" ref="M39" ca="1">_xll.BDP(E39,"RTG_SP_LT_LC_ISSUER_CREDIT")</f>
        <v>#NAME?</v>
      </c>
      <c r="N39" t="e" cm="1">
        <f t="array" aca="1" ref="N39" ca="1">_xll.BDP(E39,"RTG_FITCH_LT_ISSUER_DEFAULT")</f>
        <v>#NAME?</v>
      </c>
      <c r="O39" t="e" cm="1">
        <f t="array" aca="1" ref="O39" ca="1">_xll.BDP(E39,"BEST_ANALYST_RATING")</f>
        <v>#NAME?</v>
      </c>
      <c r="P39" t="e" cm="1">
        <f t="array" aca="1" ref="P39" ca="1">_xll.BDP(E39,"BB_ISSR_COMP_BSE_ON_RTGS")</f>
        <v>#NAME?</v>
      </c>
    </row>
    <row r="40" spans="1:16" x14ac:dyDescent="0.35">
      <c r="A40" t="s">
        <v>10</v>
      </c>
      <c r="B40" t="s">
        <v>128</v>
      </c>
      <c r="C40" t="s">
        <v>139</v>
      </c>
      <c r="D40" t="s">
        <v>140</v>
      </c>
      <c r="E40" t="s">
        <v>141</v>
      </c>
      <c r="F40" t="s">
        <v>61</v>
      </c>
      <c r="G40">
        <v>713464004.85000002</v>
      </c>
      <c r="H40">
        <v>2.3588583719566691E-2</v>
      </c>
      <c r="I40">
        <v>9.5595904420051642E-2</v>
      </c>
      <c r="J40">
        <v>2.8678771326015491E-2</v>
      </c>
      <c r="K40" t="e" cm="1">
        <f t="array" aca="1" ref="K40" ca="1">_xll.BDP(E40,"BB_1YR_DEFAULT_PROB")</f>
        <v>#NAME?</v>
      </c>
      <c r="L40" t="e" cm="1">
        <f t="array" aca="1" ref="L40" ca="1">_xll.BDP(E40,"RTG_MOODY_LONG_TERM")</f>
        <v>#NAME?</v>
      </c>
      <c r="M40" t="e" cm="1">
        <f t="array" aca="1" ref="M40" ca="1">_xll.BDP(E40,"RTG_SP_LT_LC_ISSUER_CREDIT")</f>
        <v>#NAME?</v>
      </c>
      <c r="N40" t="e" cm="1">
        <f t="array" aca="1" ref="N40" ca="1">_xll.BDP(E40,"RTG_FITCH_LT_ISSUER_DEFAULT")</f>
        <v>#NAME?</v>
      </c>
      <c r="O40" t="e" cm="1">
        <f t="array" aca="1" ref="O40" ca="1">_xll.BDP(E40,"BEST_ANALYST_RATING")</f>
        <v>#NAME?</v>
      </c>
      <c r="P40" t="e" cm="1">
        <f t="array" aca="1" ref="P40" ca="1">_xll.BDP(E40,"BB_ISSR_COMP_BSE_ON_RTGS")</f>
        <v>#NAME?</v>
      </c>
    </row>
    <row r="41" spans="1:16" x14ac:dyDescent="0.35">
      <c r="A41" t="s">
        <v>10</v>
      </c>
      <c r="B41" t="s">
        <v>128</v>
      </c>
      <c r="C41" t="s">
        <v>142</v>
      </c>
      <c r="D41" t="s">
        <v>143</v>
      </c>
      <c r="E41" t="s">
        <v>144</v>
      </c>
      <c r="F41" t="s">
        <v>30</v>
      </c>
      <c r="G41">
        <v>556682073.77999997</v>
      </c>
      <c r="H41">
        <v>1.8405051429752631E-2</v>
      </c>
      <c r="I41">
        <v>7.4588943458496343E-2</v>
      </c>
      <c r="J41">
        <v>2.2376683037548899E-2</v>
      </c>
      <c r="K41" t="e" cm="1">
        <f t="array" aca="1" ref="K41" ca="1">_xll.BDP(E41,"BB_1YR_DEFAULT_PROB")</f>
        <v>#NAME?</v>
      </c>
      <c r="L41" t="e" cm="1">
        <f t="array" aca="1" ref="L41" ca="1">_xll.BDP(E41,"RTG_MOODY_LONG_TERM")</f>
        <v>#NAME?</v>
      </c>
      <c r="M41" t="e" cm="1">
        <f t="array" aca="1" ref="M41" ca="1">_xll.BDP(E41,"RTG_SP_LT_LC_ISSUER_CREDIT")</f>
        <v>#NAME?</v>
      </c>
      <c r="N41" t="e" cm="1">
        <f t="array" aca="1" ref="N41" ca="1">_xll.BDP(E41,"RTG_FITCH_LT_ISSUER_DEFAULT")</f>
        <v>#NAME?</v>
      </c>
      <c r="O41" t="e" cm="1">
        <f t="array" aca="1" ref="O41" ca="1">_xll.BDP(E41,"BEST_ANALYST_RATING")</f>
        <v>#NAME?</v>
      </c>
      <c r="P41" t="e" cm="1">
        <f t="array" aca="1" ref="P41" ca="1">_xll.BDP(E41,"BB_ISSR_COMP_BSE_ON_RTGS")</f>
        <v>#NAME?</v>
      </c>
    </row>
    <row r="42" spans="1:16" x14ac:dyDescent="0.35">
      <c r="A42" t="s">
        <v>10</v>
      </c>
      <c r="B42" t="s">
        <v>128</v>
      </c>
      <c r="C42" t="s">
        <v>145</v>
      </c>
      <c r="D42" t="s">
        <v>146</v>
      </c>
      <c r="E42" t="s">
        <v>147</v>
      </c>
      <c r="F42" t="s">
        <v>19</v>
      </c>
      <c r="G42">
        <v>523010381.36000001</v>
      </c>
      <c r="H42">
        <v>1.7291796198613589E-2</v>
      </c>
      <c r="I42">
        <v>7.0077327079306431E-2</v>
      </c>
      <c r="J42">
        <v>2.1023198123791931E-2</v>
      </c>
      <c r="K42" t="e" cm="1">
        <f t="array" aca="1" ref="K42" ca="1">_xll.BDP(E42,"BB_1YR_DEFAULT_PROB")</f>
        <v>#NAME?</v>
      </c>
      <c r="L42" t="e" cm="1">
        <f t="array" aca="1" ref="L42" ca="1">_xll.BDP(E42,"RTG_MOODY_LONG_TERM")</f>
        <v>#NAME?</v>
      </c>
      <c r="M42" t="e" cm="1">
        <f t="array" aca="1" ref="M42" ca="1">_xll.BDP(E42,"RTG_SP_LT_LC_ISSUER_CREDIT")</f>
        <v>#NAME?</v>
      </c>
      <c r="N42" t="e" cm="1">
        <f t="array" aca="1" ref="N42" ca="1">_xll.BDP(E42,"RTG_FITCH_LT_ISSUER_DEFAULT")</f>
        <v>#NAME?</v>
      </c>
      <c r="O42" t="e" cm="1">
        <f t="array" aca="1" ref="O42" ca="1">_xll.BDP(E42,"BEST_ANALYST_RATING")</f>
        <v>#NAME?</v>
      </c>
      <c r="P42" t="e" cm="1">
        <f t="array" aca="1" ref="P42" ca="1">_xll.BDP(E42,"BB_ISSR_COMP_BSE_ON_RTGS")</f>
        <v>#NAME?</v>
      </c>
    </row>
    <row r="43" spans="1:16" x14ac:dyDescent="0.35">
      <c r="A43" t="s">
        <v>10</v>
      </c>
      <c r="B43" t="s">
        <v>128</v>
      </c>
      <c r="C43" t="s">
        <v>148</v>
      </c>
      <c r="D43" t="s">
        <v>149</v>
      </c>
      <c r="E43" t="s">
        <v>150</v>
      </c>
      <c r="F43" t="s">
        <v>19</v>
      </c>
      <c r="G43">
        <v>507049236.01999998</v>
      </c>
      <c r="H43">
        <v>1.676408798831374E-2</v>
      </c>
      <c r="I43">
        <v>6.7938718664607239E-2</v>
      </c>
      <c r="J43">
        <v>2.0381615599382171E-2</v>
      </c>
      <c r="K43" t="e" cm="1">
        <f t="array" aca="1" ref="K43" ca="1">_xll.BDP(E43,"BB_1YR_DEFAULT_PROB")</f>
        <v>#NAME?</v>
      </c>
      <c r="L43" t="e" cm="1">
        <f t="array" aca="1" ref="L43" ca="1">_xll.BDP(E43,"RTG_MOODY_LONG_TERM")</f>
        <v>#NAME?</v>
      </c>
      <c r="M43" t="e" cm="1">
        <f t="array" aca="1" ref="M43" ca="1">_xll.BDP(E43,"RTG_SP_LT_LC_ISSUER_CREDIT")</f>
        <v>#NAME?</v>
      </c>
      <c r="N43" t="e" cm="1">
        <f t="array" aca="1" ref="N43" ca="1">_xll.BDP(E43,"RTG_FITCH_LT_ISSUER_DEFAULT")</f>
        <v>#NAME?</v>
      </c>
      <c r="O43" t="e" cm="1">
        <f t="array" aca="1" ref="O43" ca="1">_xll.BDP(E43,"BEST_ANALYST_RATING")</f>
        <v>#NAME?</v>
      </c>
      <c r="P43" t="e" cm="1">
        <f t="array" aca="1" ref="P43" ca="1">_xll.BDP(E43,"BB_ISSR_COMP_BSE_ON_RTGS")</f>
        <v>#NAME?</v>
      </c>
    </row>
    <row r="44" spans="1:16" x14ac:dyDescent="0.35">
      <c r="A44" t="s">
        <v>10</v>
      </c>
      <c r="B44" t="s">
        <v>128</v>
      </c>
      <c r="C44" t="s">
        <v>151</v>
      </c>
      <c r="D44" t="s">
        <v>152</v>
      </c>
      <c r="E44" t="s">
        <v>153</v>
      </c>
      <c r="F44" t="s">
        <v>154</v>
      </c>
      <c r="G44">
        <v>425102643.92000002</v>
      </c>
      <c r="H44">
        <v>1.405476553456159E-2</v>
      </c>
      <c r="I44">
        <v>5.6958825449689492E-2</v>
      </c>
      <c r="J44">
        <v>1.708764763490685E-2</v>
      </c>
      <c r="K44" t="e" cm="1">
        <f t="array" aca="1" ref="K44" ca="1">_xll.BDP(E44,"BB_1YR_DEFAULT_PROB")</f>
        <v>#NAME?</v>
      </c>
      <c r="L44" t="e" cm="1">
        <f t="array" aca="1" ref="L44" ca="1">_xll.BDP(E44,"RTG_MOODY_LONG_TERM")</f>
        <v>#NAME?</v>
      </c>
      <c r="M44" t="e" cm="1">
        <f t="array" aca="1" ref="M44" ca="1">_xll.BDP(E44,"RTG_SP_LT_LC_ISSUER_CREDIT")</f>
        <v>#NAME?</v>
      </c>
      <c r="N44" t="e" cm="1">
        <f t="array" aca="1" ref="N44" ca="1">_xll.BDP(E44,"RTG_FITCH_LT_ISSUER_DEFAULT")</f>
        <v>#NAME?</v>
      </c>
      <c r="O44" t="e" cm="1">
        <f t="array" aca="1" ref="O44" ca="1">_xll.BDP(E44,"BEST_ANALYST_RATING")</f>
        <v>#NAME?</v>
      </c>
      <c r="P44" t="e" cm="1">
        <f t="array" aca="1" ref="P44" ca="1">_xll.BDP(E44,"BB_ISSR_COMP_BSE_ON_RTGS")</f>
        <v>#NAME?</v>
      </c>
    </row>
    <row r="45" spans="1:16" x14ac:dyDescent="0.35">
      <c r="A45" t="s">
        <v>10</v>
      </c>
      <c r="B45" t="s">
        <v>128</v>
      </c>
      <c r="C45" t="s">
        <v>155</v>
      </c>
      <c r="D45" t="s">
        <v>156</v>
      </c>
      <c r="E45" t="s">
        <v>157</v>
      </c>
      <c r="F45" t="s">
        <v>61</v>
      </c>
      <c r="G45">
        <v>416844685.43000001</v>
      </c>
      <c r="H45">
        <v>1.3781740485126859E-2</v>
      </c>
      <c r="I45">
        <v>5.5852354758598677E-2</v>
      </c>
      <c r="J45">
        <v>1.6755706427579609E-2</v>
      </c>
      <c r="K45" t="e" cm="1">
        <f t="array" aca="1" ref="K45" ca="1">_xll.BDP(E45,"BB_1YR_DEFAULT_PROB")</f>
        <v>#NAME?</v>
      </c>
      <c r="L45" t="e" cm="1">
        <f t="array" aca="1" ref="L45" ca="1">_xll.BDP(E45,"RTG_MOODY_LONG_TERM")</f>
        <v>#NAME?</v>
      </c>
      <c r="M45" t="e" cm="1">
        <f t="array" aca="1" ref="M45" ca="1">_xll.BDP(E45,"RTG_SP_LT_LC_ISSUER_CREDIT")</f>
        <v>#NAME?</v>
      </c>
      <c r="N45" t="e" cm="1">
        <f t="array" aca="1" ref="N45" ca="1">_xll.BDP(E45,"RTG_FITCH_LT_ISSUER_DEFAULT")</f>
        <v>#NAME?</v>
      </c>
      <c r="O45" t="e" cm="1">
        <f t="array" aca="1" ref="O45" ca="1">_xll.BDP(E45,"BEST_ANALYST_RATING")</f>
        <v>#NAME?</v>
      </c>
      <c r="P45" t="e" cm="1">
        <f t="array" aca="1" ref="P45" ca="1">_xll.BDP(E45,"BB_ISSR_COMP_BSE_ON_RTGS")</f>
        <v>#NAME?</v>
      </c>
    </row>
    <row r="46" spans="1:16" x14ac:dyDescent="0.35">
      <c r="A46" t="s">
        <v>10</v>
      </c>
      <c r="B46" t="s">
        <v>128</v>
      </c>
      <c r="C46" t="s">
        <v>158</v>
      </c>
      <c r="D46" t="s">
        <v>159</v>
      </c>
      <c r="E46" t="s">
        <v>160</v>
      </c>
      <c r="F46" t="s">
        <v>38</v>
      </c>
      <c r="G46">
        <v>362944516.57999998</v>
      </c>
      <c r="H46">
        <v>1.199969032313682E-2</v>
      </c>
      <c r="I46">
        <v>4.8630357076049097E-2</v>
      </c>
      <c r="J46">
        <v>1.4589107122814729E-2</v>
      </c>
      <c r="K46" t="e" cm="1">
        <f t="array" aca="1" ref="K46" ca="1">_xll.BDP(E46,"BB_1YR_DEFAULT_PROB")</f>
        <v>#NAME?</v>
      </c>
      <c r="L46" t="e" cm="1">
        <f t="array" aca="1" ref="L46" ca="1">_xll.BDP(E46,"RTG_MOODY_LONG_TERM")</f>
        <v>#NAME?</v>
      </c>
      <c r="M46" t="e" cm="1">
        <f t="array" aca="1" ref="M46" ca="1">_xll.BDP(E46,"RTG_SP_LT_LC_ISSUER_CREDIT")</f>
        <v>#NAME?</v>
      </c>
      <c r="N46" t="e" cm="1">
        <f t="array" aca="1" ref="N46" ca="1">_xll.BDP(E46,"RTG_FITCH_LT_ISSUER_DEFAULT")</f>
        <v>#NAME?</v>
      </c>
      <c r="O46" t="e" cm="1">
        <f t="array" aca="1" ref="O46" ca="1">_xll.BDP(E46,"BEST_ANALYST_RATING")</f>
        <v>#NAME?</v>
      </c>
      <c r="P46" t="e" cm="1">
        <f t="array" aca="1" ref="P46" ca="1">_xll.BDP(E46,"BB_ISSR_COMP_BSE_ON_RTGS")</f>
        <v>#NAME?</v>
      </c>
    </row>
    <row r="47" spans="1:16" x14ac:dyDescent="0.35">
      <c r="A47" t="s">
        <v>10</v>
      </c>
      <c r="B47" t="s">
        <v>128</v>
      </c>
      <c r="C47" t="s">
        <v>161</v>
      </c>
      <c r="D47" t="s">
        <v>162</v>
      </c>
      <c r="E47" t="s">
        <v>163</v>
      </c>
      <c r="F47" t="s">
        <v>34</v>
      </c>
      <c r="G47">
        <v>325529724.55000001</v>
      </c>
      <c r="H47">
        <v>1.076268053967146E-2</v>
      </c>
      <c r="I47">
        <v>4.3617208748337792E-2</v>
      </c>
      <c r="J47">
        <v>1.308516262450134E-2</v>
      </c>
      <c r="K47" t="e" cm="1">
        <f t="array" aca="1" ref="K47" ca="1">_xll.BDP(E47,"BB_1YR_DEFAULT_PROB")</f>
        <v>#NAME?</v>
      </c>
      <c r="L47" t="e" cm="1">
        <f t="array" aca="1" ref="L47" ca="1">_xll.BDP(E47,"RTG_MOODY_LONG_TERM")</f>
        <v>#NAME?</v>
      </c>
      <c r="M47" t="e" cm="1">
        <f t="array" aca="1" ref="M47" ca="1">_xll.BDP(E47,"RTG_SP_LT_LC_ISSUER_CREDIT")</f>
        <v>#NAME?</v>
      </c>
      <c r="N47" t="e" cm="1">
        <f t="array" aca="1" ref="N47" ca="1">_xll.BDP(E47,"RTG_FITCH_LT_ISSUER_DEFAULT")</f>
        <v>#NAME?</v>
      </c>
      <c r="O47" t="e" cm="1">
        <f t="array" aca="1" ref="O47" ca="1">_xll.BDP(E47,"BEST_ANALYST_RATING")</f>
        <v>#NAME?</v>
      </c>
      <c r="P47" t="e" cm="1">
        <f t="array" aca="1" ref="P47" ca="1">_xll.BDP(E47,"BB_ISSR_COMP_BSE_ON_RTGS")</f>
        <v>#NAME?</v>
      </c>
    </row>
    <row r="48" spans="1:16" x14ac:dyDescent="0.35">
      <c r="A48" t="s">
        <v>10</v>
      </c>
      <c r="B48" t="s">
        <v>128</v>
      </c>
      <c r="C48" t="s">
        <v>164</v>
      </c>
      <c r="D48" t="s">
        <v>165</v>
      </c>
      <c r="E48" t="s">
        <v>166</v>
      </c>
      <c r="F48" t="s">
        <v>38</v>
      </c>
      <c r="G48">
        <v>319162528.54000002</v>
      </c>
      <c r="H48">
        <v>1.0552167976851479E-2</v>
      </c>
      <c r="I48">
        <v>4.2764078307197091E-2</v>
      </c>
      <c r="J48">
        <v>1.282922349215913E-2</v>
      </c>
      <c r="K48" t="e" cm="1">
        <f t="array" aca="1" ref="K48" ca="1">_xll.BDP(E48,"BB_1YR_DEFAULT_PROB")</f>
        <v>#NAME?</v>
      </c>
      <c r="L48" t="e" cm="1">
        <f t="array" aca="1" ref="L48" ca="1">_xll.BDP(E48,"RTG_MOODY_LONG_TERM")</f>
        <v>#NAME?</v>
      </c>
      <c r="M48" t="e" cm="1">
        <f t="array" aca="1" ref="M48" ca="1">_xll.BDP(E48,"RTG_SP_LT_LC_ISSUER_CREDIT")</f>
        <v>#NAME?</v>
      </c>
      <c r="N48" t="e" cm="1">
        <f t="array" aca="1" ref="N48" ca="1">_xll.BDP(E48,"RTG_FITCH_LT_ISSUER_DEFAULT")</f>
        <v>#NAME?</v>
      </c>
      <c r="O48" t="e" cm="1">
        <f t="array" aca="1" ref="O48" ca="1">_xll.BDP(E48,"BEST_ANALYST_RATING")</f>
        <v>#NAME?</v>
      </c>
      <c r="P48" t="e" cm="1">
        <f t="array" aca="1" ref="P48" ca="1">_xll.BDP(E48,"BB_ISSR_COMP_BSE_ON_RTGS")</f>
        <v>#NAME?</v>
      </c>
    </row>
    <row r="49" spans="1:16" x14ac:dyDescent="0.35">
      <c r="A49" t="s">
        <v>10</v>
      </c>
      <c r="B49" t="s">
        <v>128</v>
      </c>
      <c r="C49" t="s">
        <v>167</v>
      </c>
      <c r="D49" t="s">
        <v>168</v>
      </c>
      <c r="E49" t="s">
        <v>169</v>
      </c>
      <c r="F49" t="s">
        <v>38</v>
      </c>
      <c r="G49">
        <v>309049197.52999997</v>
      </c>
      <c r="H49">
        <v>1.0217800505484469E-2</v>
      </c>
      <c r="I49">
        <v>4.1409009210468709E-2</v>
      </c>
      <c r="J49">
        <v>1.242270276314061E-2</v>
      </c>
      <c r="K49" t="e" cm="1">
        <f t="array" aca="1" ref="K49" ca="1">_xll.BDP(E49,"BB_1YR_DEFAULT_PROB")</f>
        <v>#NAME?</v>
      </c>
      <c r="L49" t="e" cm="1">
        <f t="array" aca="1" ref="L49" ca="1">_xll.BDP(E49,"RTG_MOODY_LONG_TERM")</f>
        <v>#NAME?</v>
      </c>
      <c r="M49" t="e" cm="1">
        <f t="array" aca="1" ref="M49" ca="1">_xll.BDP(E49,"RTG_SP_LT_LC_ISSUER_CREDIT")</f>
        <v>#NAME?</v>
      </c>
      <c r="N49" t="e" cm="1">
        <f t="array" aca="1" ref="N49" ca="1">_xll.BDP(E49,"RTG_FITCH_LT_ISSUER_DEFAULT")</f>
        <v>#NAME?</v>
      </c>
      <c r="O49" t="e" cm="1">
        <f t="array" aca="1" ref="O49" ca="1">_xll.BDP(E49,"BEST_ANALYST_RATING")</f>
        <v>#NAME?</v>
      </c>
      <c r="P49" t="e" cm="1">
        <f t="array" aca="1" ref="P49" ca="1">_xll.BDP(E49,"BB_ISSR_COMP_BSE_ON_RTGS")</f>
        <v>#NAME?</v>
      </c>
    </row>
    <row r="50" spans="1:16" x14ac:dyDescent="0.35">
      <c r="A50" t="s">
        <v>10</v>
      </c>
      <c r="B50" t="s">
        <v>128</v>
      </c>
      <c r="C50" t="s">
        <v>170</v>
      </c>
      <c r="D50" t="s">
        <v>171</v>
      </c>
      <c r="E50" t="s">
        <v>172</v>
      </c>
      <c r="F50" t="s">
        <v>23</v>
      </c>
      <c r="G50">
        <v>240190668.31</v>
      </c>
      <c r="H50">
        <v>7.9411962615833533E-3</v>
      </c>
      <c r="I50">
        <v>3.218276467244973E-2</v>
      </c>
      <c r="J50">
        <v>9.6548294017349181E-3</v>
      </c>
      <c r="K50" t="e" cm="1">
        <f t="array" aca="1" ref="K50" ca="1">_xll.BDP(E50,"BB_1YR_DEFAULT_PROB")</f>
        <v>#NAME?</v>
      </c>
      <c r="L50" t="e" cm="1">
        <f t="array" aca="1" ref="L50" ca="1">_xll.BDP(E50,"RTG_MOODY_LONG_TERM")</f>
        <v>#NAME?</v>
      </c>
      <c r="M50" t="e" cm="1">
        <f t="array" aca="1" ref="M50" ca="1">_xll.BDP(E50,"RTG_SP_LT_LC_ISSUER_CREDIT")</f>
        <v>#NAME?</v>
      </c>
      <c r="N50" t="e" cm="1">
        <f t="array" aca="1" ref="N50" ca="1">_xll.BDP(E50,"RTG_FITCH_LT_ISSUER_DEFAULT")</f>
        <v>#NAME?</v>
      </c>
      <c r="O50" t="e" cm="1">
        <f t="array" aca="1" ref="O50" ca="1">_xll.BDP(E50,"BEST_ANALYST_RATING")</f>
        <v>#NAME?</v>
      </c>
      <c r="P50" t="e" cm="1">
        <f t="array" aca="1" ref="P50" ca="1">_xll.BDP(E50,"BB_ISSR_COMP_BSE_ON_RTGS")</f>
        <v>#NAME?</v>
      </c>
    </row>
    <row r="51" spans="1:16" x14ac:dyDescent="0.35">
      <c r="A51" t="s">
        <v>10</v>
      </c>
      <c r="B51" t="s">
        <v>128</v>
      </c>
      <c r="C51" t="s">
        <v>173</v>
      </c>
      <c r="D51" t="s">
        <v>174</v>
      </c>
      <c r="E51" t="s">
        <v>175</v>
      </c>
      <c r="F51" t="s">
        <v>15</v>
      </c>
      <c r="G51">
        <v>216510068.71000001</v>
      </c>
      <c r="H51">
        <v>7.1582670564700893E-3</v>
      </c>
      <c r="I51">
        <v>2.9009838889814E-2</v>
      </c>
      <c r="J51">
        <v>8.7029516669442E-3</v>
      </c>
      <c r="K51" t="e" cm="1">
        <f t="array" aca="1" ref="K51" ca="1">_xll.BDP(E51,"BB_1YR_DEFAULT_PROB")</f>
        <v>#NAME?</v>
      </c>
      <c r="L51" t="e" cm="1">
        <f t="array" aca="1" ref="L51" ca="1">_xll.BDP(E51,"RTG_MOODY_LONG_TERM")</f>
        <v>#NAME?</v>
      </c>
      <c r="M51" t="e" cm="1">
        <f t="array" aca="1" ref="M51" ca="1">_xll.BDP(E51,"RTG_SP_LT_LC_ISSUER_CREDIT")</f>
        <v>#NAME?</v>
      </c>
      <c r="N51" t="e" cm="1">
        <f t="array" aca="1" ref="N51" ca="1">_xll.BDP(E51,"RTG_FITCH_LT_ISSUER_DEFAULT")</f>
        <v>#NAME?</v>
      </c>
      <c r="O51" t="e" cm="1">
        <f t="array" aca="1" ref="O51" ca="1">_xll.BDP(E51,"BEST_ANALYST_RATING")</f>
        <v>#NAME?</v>
      </c>
      <c r="P51" t="e" cm="1">
        <f t="array" aca="1" ref="P51" ca="1">_xll.BDP(E51,"BB_ISSR_COMP_BSE_ON_RTGS")</f>
        <v>#NAME?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C863-E5A5-4B82-8BF7-C994FA225029}">
  <dimension ref="A1:P51"/>
  <sheetViews>
    <sheetView tabSelected="1" workbookViewId="0">
      <selection activeCell="I26" sqref="I26"/>
    </sheetView>
  </sheetViews>
  <sheetFormatPr defaultRowHeight="14.5" x14ac:dyDescent="0.35"/>
  <cols>
    <col min="7" max="7" width="11.90625" bestFit="1" customWidth="1"/>
    <col min="8" max="8" width="13.36328125" bestFit="1" customWidth="1"/>
    <col min="9" max="9" width="16.36328125" bestFit="1" customWidth="1"/>
    <col min="10" max="10" width="14" bestFit="1" customWidth="1"/>
    <col min="11" max="11" width="23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8.1282141444581374E-2</v>
      </c>
      <c r="J2">
        <v>5.6897499011206963E-2</v>
      </c>
      <c r="K2">
        <v>2.5975213003740172E-2</v>
      </c>
      <c r="L2" t="s">
        <v>236</v>
      </c>
      <c r="M2" t="s">
        <v>236</v>
      </c>
      <c r="N2" t="s">
        <v>236</v>
      </c>
      <c r="O2">
        <v>3.9000000953674316</v>
      </c>
      <c r="P2" t="s">
        <v>236</v>
      </c>
    </row>
    <row r="3" spans="1:16" x14ac:dyDescent="0.35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7.4477345435722792E-2</v>
      </c>
      <c r="J3">
        <v>5.2134141805005953E-2</v>
      </c>
      <c r="K3">
        <v>1.153386182234406E-2</v>
      </c>
      <c r="L3" t="s">
        <v>237</v>
      </c>
      <c r="M3" t="s">
        <v>238</v>
      </c>
      <c r="N3" t="s">
        <v>239</v>
      </c>
      <c r="O3">
        <v>2.9200000762939453</v>
      </c>
      <c r="P3" t="s">
        <v>238</v>
      </c>
    </row>
    <row r="4" spans="1:16" x14ac:dyDescent="0.3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6.0838800895381913E-2</v>
      </c>
      <c r="J4">
        <v>4.2587160626767331E-2</v>
      </c>
      <c r="K4">
        <v>3.800220173744151E-5</v>
      </c>
      <c r="L4" t="s">
        <v>236</v>
      </c>
      <c r="M4" t="s">
        <v>236</v>
      </c>
      <c r="N4" t="s">
        <v>240</v>
      </c>
      <c r="O4">
        <v>4.1666665077209473</v>
      </c>
      <c r="P4" t="s">
        <v>241</v>
      </c>
    </row>
    <row r="5" spans="1:16" x14ac:dyDescent="0.35">
      <c r="A5" t="s">
        <v>10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4.9507423698364993E-2</v>
      </c>
      <c r="J5">
        <v>3.4655196588855491E-2</v>
      </c>
      <c r="K5">
        <v>3.0700331491351651E-2</v>
      </c>
      <c r="L5" t="s">
        <v>242</v>
      </c>
      <c r="M5" t="s">
        <v>243</v>
      </c>
      <c r="N5" t="s">
        <v>236</v>
      </c>
      <c r="O5">
        <v>4.5</v>
      </c>
      <c r="P5" t="s">
        <v>241</v>
      </c>
    </row>
    <row r="6" spans="1:16" x14ac:dyDescent="0.35">
      <c r="A6" t="s">
        <v>10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3.6329144815728152E-2</v>
      </c>
      <c r="J6">
        <v>2.54304013710097E-2</v>
      </c>
      <c r="K6">
        <v>9.9804423482151572E-3</v>
      </c>
      <c r="L6" t="s">
        <v>237</v>
      </c>
      <c r="M6" t="s">
        <v>244</v>
      </c>
      <c r="N6" t="s">
        <v>245</v>
      </c>
      <c r="O6">
        <v>2.736842155456543</v>
      </c>
      <c r="P6" t="s">
        <v>244</v>
      </c>
    </row>
    <row r="7" spans="1:16" x14ac:dyDescent="0.35">
      <c r="A7" t="s">
        <v>10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3.3854965216254487E-2</v>
      </c>
      <c r="J7">
        <v>2.3698475651378139E-2</v>
      </c>
      <c r="K7">
        <v>6.0317823337625587E-3</v>
      </c>
      <c r="L7" t="s">
        <v>246</v>
      </c>
      <c r="M7" t="s">
        <v>245</v>
      </c>
      <c r="N7" t="s">
        <v>238</v>
      </c>
      <c r="O7">
        <v>4.6842103004455566</v>
      </c>
      <c r="P7" t="s">
        <v>245</v>
      </c>
    </row>
    <row r="8" spans="1:16" x14ac:dyDescent="0.35">
      <c r="A8" t="s">
        <v>10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3.3789606102459437E-2</v>
      </c>
      <c r="J8">
        <v>2.36527242717216E-2</v>
      </c>
      <c r="K8">
        <v>9.9043543533683387E-4</v>
      </c>
      <c r="L8" t="s">
        <v>247</v>
      </c>
      <c r="M8" t="s">
        <v>244</v>
      </c>
      <c r="N8" t="s">
        <v>245</v>
      </c>
      <c r="O8">
        <v>4.6521739959716797</v>
      </c>
      <c r="P8" t="s">
        <v>244</v>
      </c>
    </row>
    <row r="9" spans="1:16" x14ac:dyDescent="0.35">
      <c r="A9" t="s">
        <v>10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3.3085088229651637E-2</v>
      </c>
      <c r="J9">
        <v>2.3159561760756151E-2</v>
      </c>
      <c r="K9">
        <v>1.5501989482025191E-4</v>
      </c>
      <c r="L9" t="s">
        <v>248</v>
      </c>
      <c r="M9" t="s">
        <v>249</v>
      </c>
      <c r="N9" t="s">
        <v>249</v>
      </c>
      <c r="O9">
        <v>4.5238094329833984</v>
      </c>
      <c r="P9" t="s">
        <v>249</v>
      </c>
    </row>
    <row r="10" spans="1:16" x14ac:dyDescent="0.35">
      <c r="A10" t="s">
        <v>10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3.2339719204241682E-2</v>
      </c>
      <c r="J10">
        <v>2.263780344296917E-2</v>
      </c>
      <c r="K10">
        <v>3.0156229897536191E-2</v>
      </c>
      <c r="L10" t="s">
        <v>250</v>
      </c>
      <c r="M10" t="s">
        <v>251</v>
      </c>
      <c r="N10" t="s">
        <v>240</v>
      </c>
      <c r="O10">
        <v>3</v>
      </c>
      <c r="P10" t="s">
        <v>241</v>
      </c>
    </row>
    <row r="11" spans="1:16" x14ac:dyDescent="0.35">
      <c r="A11" t="s">
        <v>10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3.0737912159373711E-2</v>
      </c>
      <c r="J11">
        <v>2.15165385115616E-2</v>
      </c>
      <c r="K11">
        <v>2.6665655572621905E-4</v>
      </c>
      <c r="L11" t="s">
        <v>246</v>
      </c>
      <c r="M11" t="s">
        <v>238</v>
      </c>
      <c r="N11" t="s">
        <v>238</v>
      </c>
      <c r="O11">
        <v>5</v>
      </c>
      <c r="P11" t="s">
        <v>238</v>
      </c>
    </row>
    <row r="12" spans="1:16" x14ac:dyDescent="0.35">
      <c r="A12" t="s">
        <v>10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3.0710654562178519E-2</v>
      </c>
      <c r="J12">
        <v>2.149745819352496E-2</v>
      </c>
      <c r="K12">
        <v>1.4781562601060561E-3</v>
      </c>
      <c r="L12" t="s">
        <v>237</v>
      </c>
      <c r="M12" t="s">
        <v>245</v>
      </c>
      <c r="N12" t="s">
        <v>240</v>
      </c>
      <c r="O12">
        <v>4</v>
      </c>
      <c r="P12" t="s">
        <v>241</v>
      </c>
    </row>
    <row r="13" spans="1:16" x14ac:dyDescent="0.35">
      <c r="A13" t="s">
        <v>10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2.9446766323357829E-2</v>
      </c>
      <c r="J13">
        <v>2.0612736426350479E-2</v>
      </c>
      <c r="K13">
        <v>8.8439015459851333E-6</v>
      </c>
      <c r="L13" t="s">
        <v>236</v>
      </c>
      <c r="M13" t="s">
        <v>252</v>
      </c>
      <c r="N13" t="s">
        <v>252</v>
      </c>
      <c r="O13">
        <v>4.0416665077209473</v>
      </c>
      <c r="P13" t="s">
        <v>252</v>
      </c>
    </row>
    <row r="14" spans="1:16" x14ac:dyDescent="0.35">
      <c r="A14" t="s">
        <v>10</v>
      </c>
      <c r="B14" t="s">
        <v>11</v>
      </c>
      <c r="C14" t="s">
        <v>55</v>
      </c>
      <c r="D14" t="s">
        <v>56</v>
      </c>
      <c r="E14" t="s">
        <v>57</v>
      </c>
      <c r="F14" t="s">
        <v>38</v>
      </c>
      <c r="G14">
        <v>132368241.48</v>
      </c>
      <c r="H14">
        <v>8.0360492379930783E-3</v>
      </c>
      <c r="I14">
        <v>2.6922978884713521E-2</v>
      </c>
      <c r="J14">
        <v>1.8846085219299459E-2</v>
      </c>
      <c r="K14">
        <v>5.7080851105092534E-2</v>
      </c>
      <c r="L14" t="s">
        <v>236</v>
      </c>
      <c r="M14" t="s">
        <v>253</v>
      </c>
      <c r="N14" t="s">
        <v>253</v>
      </c>
      <c r="O14">
        <v>3</v>
      </c>
      <c r="P14" t="s">
        <v>253</v>
      </c>
    </row>
    <row r="15" spans="1:16" x14ac:dyDescent="0.35">
      <c r="A15" t="s">
        <v>10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2.6678588015545159E-2</v>
      </c>
      <c r="J15">
        <v>1.8675011610881611E-2</v>
      </c>
      <c r="K15">
        <v>1.6746545597279283E-4</v>
      </c>
      <c r="L15" t="s">
        <v>247</v>
      </c>
      <c r="M15" t="s">
        <v>244</v>
      </c>
      <c r="N15" t="s">
        <v>236</v>
      </c>
      <c r="O15">
        <v>4.6923074722290039</v>
      </c>
      <c r="P15" t="s">
        <v>241</v>
      </c>
    </row>
    <row r="16" spans="1:16" x14ac:dyDescent="0.35">
      <c r="A16" t="s">
        <v>10</v>
      </c>
      <c r="B16" t="s">
        <v>11</v>
      </c>
      <c r="C16" t="s">
        <v>62</v>
      </c>
      <c r="D16" t="s">
        <v>63</v>
      </c>
      <c r="E16" t="s">
        <v>64</v>
      </c>
      <c r="F16" t="s">
        <v>19</v>
      </c>
      <c r="G16">
        <v>131086786.5</v>
      </c>
      <c r="H16">
        <v>7.9582523646614389E-3</v>
      </c>
      <c r="I16">
        <v>2.666233792595708E-2</v>
      </c>
      <c r="J16">
        <v>1.8663636548169951E-2</v>
      </c>
      <c r="K16">
        <v>5.3738815628645575E-4</v>
      </c>
      <c r="L16" t="s">
        <v>236</v>
      </c>
      <c r="M16" t="s">
        <v>236</v>
      </c>
      <c r="N16" t="s">
        <v>236</v>
      </c>
      <c r="O16">
        <v>2.8666665554046631</v>
      </c>
      <c r="P16" t="s">
        <v>236</v>
      </c>
    </row>
    <row r="17" spans="1:16" x14ac:dyDescent="0.35">
      <c r="A17" t="s">
        <v>10</v>
      </c>
      <c r="B17" t="s">
        <v>11</v>
      </c>
      <c r="C17" t="s">
        <v>65</v>
      </c>
      <c r="D17" t="s">
        <v>66</v>
      </c>
      <c r="E17" t="s">
        <v>67</v>
      </c>
      <c r="F17" t="s">
        <v>68</v>
      </c>
      <c r="G17">
        <v>122143598.7</v>
      </c>
      <c r="H17">
        <v>7.4153132374065239E-3</v>
      </c>
      <c r="I17">
        <v>2.484334226952685E-2</v>
      </c>
      <c r="J17">
        <v>1.7390339588668789E-2</v>
      </c>
      <c r="K17">
        <v>1.2443996471715346E-2</v>
      </c>
      <c r="L17" t="s">
        <v>236</v>
      </c>
      <c r="M17" t="s">
        <v>245</v>
      </c>
      <c r="N17" t="s">
        <v>238</v>
      </c>
      <c r="O17">
        <v>4.1111111640930176</v>
      </c>
      <c r="P17" t="s">
        <v>245</v>
      </c>
    </row>
    <row r="18" spans="1:16" x14ac:dyDescent="0.35">
      <c r="A18" t="s">
        <v>10</v>
      </c>
      <c r="B18" t="s">
        <v>11</v>
      </c>
      <c r="C18" t="s">
        <v>69</v>
      </c>
      <c r="D18" t="s">
        <v>70</v>
      </c>
      <c r="E18" t="s">
        <v>71</v>
      </c>
      <c r="F18" t="s">
        <v>19</v>
      </c>
      <c r="G18">
        <v>118552234.94</v>
      </c>
      <c r="H18">
        <v>7.1972822680122176E-3</v>
      </c>
      <c r="I18">
        <v>2.411287845436455E-2</v>
      </c>
      <c r="J18">
        <v>1.6879014918055189E-2</v>
      </c>
      <c r="K18">
        <v>0.11266537066914295</v>
      </c>
      <c r="L18" t="s">
        <v>236</v>
      </c>
      <c r="M18" t="s">
        <v>253</v>
      </c>
      <c r="N18" t="s">
        <v>236</v>
      </c>
      <c r="O18">
        <v>2.529411792755127</v>
      </c>
      <c r="P18" t="s">
        <v>241</v>
      </c>
    </row>
    <row r="19" spans="1:16" x14ac:dyDescent="0.35">
      <c r="A19" t="s">
        <v>10</v>
      </c>
      <c r="B19" t="s">
        <v>11</v>
      </c>
      <c r="C19" t="s">
        <v>72</v>
      </c>
      <c r="D19" t="s">
        <v>73</v>
      </c>
      <c r="E19" t="s">
        <v>74</v>
      </c>
      <c r="F19" t="s">
        <v>38</v>
      </c>
      <c r="G19">
        <v>113136953.84999999</v>
      </c>
      <c r="H19">
        <v>6.8685216454471149E-3</v>
      </c>
      <c r="I19">
        <v>2.3011439794979729E-2</v>
      </c>
      <c r="J19">
        <v>1.610800785648581E-2</v>
      </c>
      <c r="K19">
        <v>9.3837589275003186E-4</v>
      </c>
      <c r="L19" t="s">
        <v>246</v>
      </c>
      <c r="M19" t="s">
        <v>238</v>
      </c>
      <c r="N19" t="s">
        <v>236</v>
      </c>
      <c r="O19">
        <v>3.8695652484893799</v>
      </c>
      <c r="P19" t="s">
        <v>241</v>
      </c>
    </row>
    <row r="20" spans="1:16" x14ac:dyDescent="0.35">
      <c r="A20" t="s">
        <v>10</v>
      </c>
      <c r="B20" t="s">
        <v>11</v>
      </c>
      <c r="C20" t="s">
        <v>75</v>
      </c>
      <c r="D20" t="s">
        <v>76</v>
      </c>
      <c r="E20" t="s">
        <v>77</v>
      </c>
      <c r="F20" t="s">
        <v>30</v>
      </c>
      <c r="G20">
        <v>112366772.53</v>
      </c>
      <c r="H20">
        <v>6.8217640928763361E-3</v>
      </c>
      <c r="I20">
        <v>2.2854789112127721E-2</v>
      </c>
      <c r="J20">
        <v>1.59983523784894E-2</v>
      </c>
      <c r="K20">
        <v>1.3087507174880386E-5</v>
      </c>
      <c r="L20" t="s">
        <v>236</v>
      </c>
      <c r="M20" t="s">
        <v>245</v>
      </c>
      <c r="N20" t="s">
        <v>238</v>
      </c>
      <c r="O20">
        <v>4.3125</v>
      </c>
      <c r="P20" t="s">
        <v>245</v>
      </c>
    </row>
    <row r="21" spans="1:16" x14ac:dyDescent="0.35">
      <c r="A21" t="s">
        <v>10</v>
      </c>
      <c r="B21" t="s">
        <v>11</v>
      </c>
      <c r="C21" t="s">
        <v>78</v>
      </c>
      <c r="D21" t="s">
        <v>79</v>
      </c>
      <c r="E21" t="s">
        <v>80</v>
      </c>
      <c r="F21" t="s">
        <v>19</v>
      </c>
      <c r="G21">
        <v>112256692.86</v>
      </c>
      <c r="H21">
        <v>6.8150811783166858E-3</v>
      </c>
      <c r="I21">
        <v>2.2832399507205049E-2</v>
      </c>
      <c r="J21">
        <v>1.5982679655043529E-2</v>
      </c>
      <c r="K21">
        <v>1.4696885212343136E-2</v>
      </c>
      <c r="L21" t="s">
        <v>242</v>
      </c>
      <c r="M21" t="s">
        <v>241</v>
      </c>
      <c r="N21" t="s">
        <v>251</v>
      </c>
      <c r="O21">
        <v>3.25</v>
      </c>
      <c r="P21" t="s">
        <v>241</v>
      </c>
    </row>
    <row r="22" spans="1:16" x14ac:dyDescent="0.35">
      <c r="A22" t="s">
        <v>10</v>
      </c>
      <c r="B22" t="s">
        <v>11</v>
      </c>
      <c r="C22" t="s">
        <v>81</v>
      </c>
      <c r="D22" t="s">
        <v>82</v>
      </c>
      <c r="E22" t="s">
        <v>83</v>
      </c>
      <c r="F22" t="s">
        <v>30</v>
      </c>
      <c r="G22">
        <v>107333787.78</v>
      </c>
      <c r="H22">
        <v>6.5162126039931111E-3</v>
      </c>
      <c r="I22">
        <v>2.1831107444710469E-2</v>
      </c>
      <c r="J22">
        <v>1.528177521129733E-2</v>
      </c>
      <c r="K22">
        <v>2.4317896285541707E-6</v>
      </c>
      <c r="L22" t="s">
        <v>236</v>
      </c>
      <c r="M22" t="s">
        <v>238</v>
      </c>
      <c r="N22" t="s">
        <v>236</v>
      </c>
      <c r="O22">
        <v>4.0370368957519531</v>
      </c>
      <c r="P22" t="s">
        <v>241</v>
      </c>
    </row>
    <row r="23" spans="1:16" x14ac:dyDescent="0.35">
      <c r="A23" t="s">
        <v>10</v>
      </c>
      <c r="B23" t="s">
        <v>11</v>
      </c>
      <c r="C23" t="s">
        <v>84</v>
      </c>
      <c r="D23" t="s">
        <v>85</v>
      </c>
      <c r="E23" t="s">
        <v>86</v>
      </c>
      <c r="F23" t="s">
        <v>38</v>
      </c>
      <c r="G23">
        <v>103435800.63</v>
      </c>
      <c r="H23">
        <v>6.2795665904461437E-3</v>
      </c>
      <c r="I23">
        <v>2.1038278103178491E-2</v>
      </c>
      <c r="J23">
        <v>1.472679467222494E-2</v>
      </c>
      <c r="K23">
        <v>3.4311809182396846E-4</v>
      </c>
      <c r="L23" t="s">
        <v>254</v>
      </c>
      <c r="M23" t="s">
        <v>255</v>
      </c>
      <c r="N23" t="s">
        <v>236</v>
      </c>
      <c r="O23">
        <v>4.5</v>
      </c>
      <c r="P23" t="s">
        <v>241</v>
      </c>
    </row>
    <row r="24" spans="1:16" x14ac:dyDescent="0.35">
      <c r="A24" t="s">
        <v>10</v>
      </c>
      <c r="B24" t="s">
        <v>11</v>
      </c>
      <c r="C24" t="s">
        <v>87</v>
      </c>
      <c r="D24" t="s">
        <v>88</v>
      </c>
      <c r="E24" t="s">
        <v>89</v>
      </c>
      <c r="F24" t="s">
        <v>19</v>
      </c>
      <c r="G24">
        <v>102714602.58</v>
      </c>
      <c r="H24">
        <v>6.2357828023158141E-3</v>
      </c>
      <c r="I24">
        <v>2.0891590350476271E-2</v>
      </c>
      <c r="J24">
        <v>1.462411324533339E-2</v>
      </c>
      <c r="K24">
        <v>1.0254627572499056E-2</v>
      </c>
      <c r="L24" t="s">
        <v>236</v>
      </c>
      <c r="M24" t="s">
        <v>255</v>
      </c>
      <c r="N24" t="s">
        <v>244</v>
      </c>
      <c r="O24">
        <v>0</v>
      </c>
      <c r="P24" t="s">
        <v>255</v>
      </c>
    </row>
    <row r="25" spans="1:16" x14ac:dyDescent="0.35">
      <c r="A25" t="s">
        <v>10</v>
      </c>
      <c r="B25" t="s">
        <v>11</v>
      </c>
      <c r="C25" t="s">
        <v>90</v>
      </c>
      <c r="D25" t="s">
        <v>91</v>
      </c>
      <c r="E25" t="s">
        <v>92</v>
      </c>
      <c r="F25" t="s">
        <v>19</v>
      </c>
      <c r="G25">
        <v>102198584.98999999</v>
      </c>
      <c r="H25">
        <v>6.2044554785216314E-3</v>
      </c>
      <c r="I25">
        <v>2.0786635185065159E-2</v>
      </c>
      <c r="J25">
        <v>1.455064462954561E-2</v>
      </c>
      <c r="K25">
        <v>1.079917138966402E-2</v>
      </c>
      <c r="L25" t="s">
        <v>256</v>
      </c>
      <c r="M25" t="s">
        <v>251</v>
      </c>
      <c r="N25" t="s">
        <v>257</v>
      </c>
      <c r="O25">
        <v>2.8571429252624512</v>
      </c>
      <c r="P25" t="s">
        <v>251</v>
      </c>
    </row>
    <row r="26" spans="1:16" x14ac:dyDescent="0.35">
      <c r="A26" t="s">
        <v>10</v>
      </c>
      <c r="B26" t="s">
        <v>11</v>
      </c>
      <c r="C26" t="s">
        <v>93</v>
      </c>
      <c r="D26" t="s">
        <v>94</v>
      </c>
      <c r="E26" t="s">
        <v>95</v>
      </c>
      <c r="F26" t="s">
        <v>30</v>
      </c>
      <c r="G26">
        <v>100201366.62</v>
      </c>
      <c r="H26">
        <v>6.0832047541719454E-3</v>
      </c>
      <c r="I26">
        <v>2.0380411853830559E-2</v>
      </c>
      <c r="J26">
        <v>1.426628829768139E-2</v>
      </c>
      <c r="K26">
        <v>1.9856123626004196E-3</v>
      </c>
      <c r="L26" t="s">
        <v>236</v>
      </c>
      <c r="M26" t="s">
        <v>244</v>
      </c>
      <c r="N26" t="s">
        <v>244</v>
      </c>
      <c r="O26">
        <v>4.8571429252624512</v>
      </c>
      <c r="P26" t="s">
        <v>244</v>
      </c>
    </row>
    <row r="27" spans="1:16" x14ac:dyDescent="0.35">
      <c r="A27" t="s">
        <v>10</v>
      </c>
      <c r="B27" t="s">
        <v>11</v>
      </c>
      <c r="C27" t="s">
        <v>96</v>
      </c>
      <c r="D27" t="s">
        <v>97</v>
      </c>
      <c r="E27" t="s">
        <v>98</v>
      </c>
      <c r="F27" t="s">
        <v>23</v>
      </c>
      <c r="G27">
        <v>99813361.519999996</v>
      </c>
      <c r="H27">
        <v>6.0596490428220769E-3</v>
      </c>
      <c r="I27">
        <v>2.0301493731192811E-2</v>
      </c>
      <c r="J27">
        <v>1.421104561183497E-2</v>
      </c>
      <c r="K27">
        <v>6.4950016634202079E-5</v>
      </c>
      <c r="L27" t="s">
        <v>236</v>
      </c>
      <c r="M27" t="s">
        <v>238</v>
      </c>
      <c r="N27" t="s">
        <v>241</v>
      </c>
      <c r="O27">
        <v>4.3043479919433594</v>
      </c>
      <c r="P27" t="s">
        <v>241</v>
      </c>
    </row>
    <row r="28" spans="1:16" x14ac:dyDescent="0.35">
      <c r="A28" t="s">
        <v>10</v>
      </c>
      <c r="B28" t="s">
        <v>11</v>
      </c>
      <c r="C28" t="s">
        <v>99</v>
      </c>
      <c r="D28" t="s">
        <v>100</v>
      </c>
      <c r="E28" t="s">
        <v>101</v>
      </c>
      <c r="F28" t="s">
        <v>19</v>
      </c>
      <c r="G28">
        <v>98668754.50999999</v>
      </c>
      <c r="H28">
        <v>5.9901601821431968E-3</v>
      </c>
      <c r="I28">
        <v>2.006868690368668E-2</v>
      </c>
      <c r="J28">
        <v>1.404808083258067E-2</v>
      </c>
      <c r="K28">
        <v>1.4470402973384422E-3</v>
      </c>
      <c r="L28" t="s">
        <v>258</v>
      </c>
      <c r="M28" t="s">
        <v>259</v>
      </c>
      <c r="N28" t="s">
        <v>259</v>
      </c>
      <c r="O28">
        <v>3.0833332538604736</v>
      </c>
      <c r="P28" t="s">
        <v>238</v>
      </c>
    </row>
    <row r="29" spans="1:16" x14ac:dyDescent="0.35">
      <c r="A29" t="s">
        <v>10</v>
      </c>
      <c r="B29" t="s">
        <v>11</v>
      </c>
      <c r="C29" t="s">
        <v>102</v>
      </c>
      <c r="D29" t="s">
        <v>103</v>
      </c>
      <c r="E29" t="s">
        <v>104</v>
      </c>
      <c r="F29" t="s">
        <v>68</v>
      </c>
      <c r="G29">
        <v>96186495.959999993</v>
      </c>
      <c r="H29">
        <v>5.8394627663114458E-3</v>
      </c>
      <c r="I29">
        <v>1.9563809043402141E-2</v>
      </c>
      <c r="J29">
        <v>1.3694666330381499E-2</v>
      </c>
      <c r="K29">
        <v>1.0138067909546189E-2</v>
      </c>
      <c r="L29" t="s">
        <v>254</v>
      </c>
      <c r="M29" t="s">
        <v>255</v>
      </c>
      <c r="N29" t="s">
        <v>255</v>
      </c>
      <c r="O29">
        <v>3</v>
      </c>
      <c r="P29" t="s">
        <v>255</v>
      </c>
    </row>
    <row r="30" spans="1:16" x14ac:dyDescent="0.35">
      <c r="A30" t="s">
        <v>10</v>
      </c>
      <c r="B30" t="s">
        <v>11</v>
      </c>
      <c r="C30" t="s">
        <v>105</v>
      </c>
      <c r="D30" t="s">
        <v>106</v>
      </c>
      <c r="E30" t="s">
        <v>107</v>
      </c>
      <c r="F30" t="s">
        <v>30</v>
      </c>
      <c r="G30">
        <v>95715809.019999996</v>
      </c>
      <c r="H30">
        <v>5.8108874571343441E-3</v>
      </c>
      <c r="I30">
        <v>1.946807388514029E-2</v>
      </c>
      <c r="J30">
        <v>1.36276517195982E-2</v>
      </c>
      <c r="K30">
        <v>0.16642835086551047</v>
      </c>
      <c r="L30" t="s">
        <v>242</v>
      </c>
      <c r="M30" t="s">
        <v>236</v>
      </c>
      <c r="N30" t="s">
        <v>236</v>
      </c>
      <c r="O30">
        <v>0</v>
      </c>
      <c r="P30" t="s">
        <v>236</v>
      </c>
    </row>
    <row r="31" spans="1:16" x14ac:dyDescent="0.35">
      <c r="A31" t="s">
        <v>10</v>
      </c>
      <c r="B31" t="s">
        <v>11</v>
      </c>
      <c r="C31" t="s">
        <v>108</v>
      </c>
      <c r="D31" t="s">
        <v>109</v>
      </c>
      <c r="E31" t="s">
        <v>110</v>
      </c>
      <c r="F31" t="s">
        <v>15</v>
      </c>
      <c r="G31">
        <v>85441720.260000005</v>
      </c>
      <c r="H31">
        <v>5.1871496010765829E-3</v>
      </c>
      <c r="I31">
        <v>1.73783802271117E-2</v>
      </c>
      <c r="J31">
        <v>1.216486615897819E-2</v>
      </c>
      <c r="K31">
        <v>1.5143949961963221E-3</v>
      </c>
      <c r="L31" t="s">
        <v>247</v>
      </c>
      <c r="M31" t="s">
        <v>245</v>
      </c>
      <c r="N31" t="s">
        <v>238</v>
      </c>
      <c r="O31">
        <v>3.75</v>
      </c>
      <c r="P31" t="s">
        <v>245</v>
      </c>
    </row>
    <row r="32" spans="1:16" x14ac:dyDescent="0.35">
      <c r="A32" t="s">
        <v>10</v>
      </c>
      <c r="B32" t="s">
        <v>11</v>
      </c>
      <c r="C32" t="s">
        <v>111</v>
      </c>
      <c r="D32" t="s">
        <v>112</v>
      </c>
      <c r="E32" t="s">
        <v>113</v>
      </c>
      <c r="F32" t="s">
        <v>23</v>
      </c>
      <c r="G32">
        <v>80140406.209999993</v>
      </c>
      <c r="H32">
        <v>4.8653078945196408E-3</v>
      </c>
      <c r="I32">
        <v>1.630012184252063E-2</v>
      </c>
      <c r="J32">
        <v>1.141008528976444E-2</v>
      </c>
      <c r="K32">
        <v>1.9221275687675288E-4</v>
      </c>
      <c r="L32" t="s">
        <v>237</v>
      </c>
      <c r="M32" t="s">
        <v>245</v>
      </c>
      <c r="N32" t="s">
        <v>238</v>
      </c>
      <c r="O32">
        <v>4.8000001907348633</v>
      </c>
      <c r="P32" t="s">
        <v>245</v>
      </c>
    </row>
    <row r="33" spans="1:16" x14ac:dyDescent="0.35">
      <c r="A33" t="s">
        <v>10</v>
      </c>
      <c r="B33" t="s">
        <v>11</v>
      </c>
      <c r="C33" t="s">
        <v>114</v>
      </c>
      <c r="D33" t="s">
        <v>115</v>
      </c>
      <c r="E33" t="s">
        <v>116</v>
      </c>
      <c r="F33" t="s">
        <v>61</v>
      </c>
      <c r="G33">
        <v>78490527.070000008</v>
      </c>
      <c r="H33">
        <v>4.7651440647555289E-3</v>
      </c>
      <c r="I33">
        <v>1.5964545417602571E-2</v>
      </c>
      <c r="J33">
        <v>1.1175181792321799E-2</v>
      </c>
      <c r="K33">
        <v>4.0559400114326127E-4</v>
      </c>
      <c r="L33" t="s">
        <v>246</v>
      </c>
      <c r="M33" t="s">
        <v>238</v>
      </c>
      <c r="N33" t="s">
        <v>260</v>
      </c>
      <c r="O33">
        <v>4.5434784889221191</v>
      </c>
      <c r="P33" t="s">
        <v>238</v>
      </c>
    </row>
    <row r="34" spans="1:16" x14ac:dyDescent="0.35">
      <c r="A34" t="s">
        <v>10</v>
      </c>
      <c r="B34" t="s">
        <v>11</v>
      </c>
      <c r="C34" t="s">
        <v>117</v>
      </c>
      <c r="D34" t="s">
        <v>118</v>
      </c>
      <c r="E34" t="s">
        <v>119</v>
      </c>
      <c r="F34" t="s">
        <v>120</v>
      </c>
      <c r="G34">
        <v>70663718.079999998</v>
      </c>
      <c r="H34">
        <v>4.2899800698518861E-3</v>
      </c>
      <c r="I34">
        <v>1.437261512664759E-2</v>
      </c>
      <c r="J34">
        <v>1.006083058865331E-2</v>
      </c>
      <c r="K34">
        <v>7.5173819090390559E-4</v>
      </c>
      <c r="L34" t="s">
        <v>254</v>
      </c>
      <c r="M34" t="s">
        <v>244</v>
      </c>
      <c r="N34" t="s">
        <v>236</v>
      </c>
      <c r="O34">
        <v>5</v>
      </c>
      <c r="P34" t="s">
        <v>241</v>
      </c>
    </row>
    <row r="35" spans="1:16" x14ac:dyDescent="0.35">
      <c r="A35" t="s">
        <v>10</v>
      </c>
      <c r="B35" t="s">
        <v>11</v>
      </c>
      <c r="C35" t="s">
        <v>121</v>
      </c>
      <c r="D35" t="s">
        <v>122</v>
      </c>
      <c r="E35" t="s">
        <v>123</v>
      </c>
      <c r="F35" t="s">
        <v>124</v>
      </c>
      <c r="G35">
        <v>69266602.489999995</v>
      </c>
      <c r="H35">
        <v>4.2051614642190224E-3</v>
      </c>
      <c r="I35">
        <v>1.408844943018967E-2</v>
      </c>
      <c r="J35">
        <v>9.861914601132768E-3</v>
      </c>
      <c r="K35">
        <v>7.7621969259944468E-3</v>
      </c>
      <c r="L35" t="s">
        <v>242</v>
      </c>
      <c r="M35" t="s">
        <v>253</v>
      </c>
      <c r="N35" t="s">
        <v>236</v>
      </c>
      <c r="O35">
        <v>3</v>
      </c>
      <c r="P35" t="s">
        <v>241</v>
      </c>
    </row>
    <row r="36" spans="1:16" x14ac:dyDescent="0.35">
      <c r="A36" t="s">
        <v>10</v>
      </c>
      <c r="B36" t="s">
        <v>11</v>
      </c>
      <c r="C36" t="s">
        <v>125</v>
      </c>
      <c r="D36" t="s">
        <v>126</v>
      </c>
      <c r="E36" t="s">
        <v>127</v>
      </c>
      <c r="F36" t="s">
        <v>34</v>
      </c>
      <c r="G36">
        <v>65131929.130000003</v>
      </c>
      <c r="H36">
        <v>3.9541462786089714E-3</v>
      </c>
      <c r="I36">
        <v>1.324747940352896E-2</v>
      </c>
      <c r="J36">
        <v>9.2732355824702694E-3</v>
      </c>
      <c r="K36">
        <v>7.5862625332834277E-4</v>
      </c>
      <c r="L36" t="s">
        <v>247</v>
      </c>
      <c r="M36" t="s">
        <v>238</v>
      </c>
      <c r="N36" t="s">
        <v>260</v>
      </c>
      <c r="O36">
        <v>4.3333334922790527</v>
      </c>
      <c r="P36" t="s">
        <v>238</v>
      </c>
    </row>
    <row r="37" spans="1:16" x14ac:dyDescent="0.35">
      <c r="A37" t="s">
        <v>10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>
        <v>905800559.92999995</v>
      </c>
      <c r="H37">
        <v>2.9947624821845539E-2</v>
      </c>
      <c r="I37">
        <v>0.1213667727622819</v>
      </c>
      <c r="J37">
        <v>3.6410031828684561E-2</v>
      </c>
      <c r="K37">
        <v>6.708493977669594E-5</v>
      </c>
      <c r="L37" t="s">
        <v>236</v>
      </c>
      <c r="M37" t="s">
        <v>249</v>
      </c>
      <c r="N37" t="s">
        <v>261</v>
      </c>
      <c r="O37">
        <v>4.0882353782653809</v>
      </c>
      <c r="P37" t="s">
        <v>252</v>
      </c>
    </row>
    <row r="38" spans="1:16" x14ac:dyDescent="0.35">
      <c r="A38" t="s">
        <v>10</v>
      </c>
      <c r="B38" t="s">
        <v>128</v>
      </c>
      <c r="C38" t="s">
        <v>133</v>
      </c>
      <c r="D38" t="s">
        <v>134</v>
      </c>
      <c r="E38" t="s">
        <v>135</v>
      </c>
      <c r="F38" t="s">
        <v>132</v>
      </c>
      <c r="G38">
        <v>832865606.57000005</v>
      </c>
      <c r="H38">
        <v>2.753624563281868E-2</v>
      </c>
      <c r="I38">
        <v>0.1115943346534395</v>
      </c>
      <c r="J38">
        <v>3.3478300396031828E-2</v>
      </c>
      <c r="K38">
        <v>1.0837951082087738E-4</v>
      </c>
      <c r="L38" t="s">
        <v>236</v>
      </c>
      <c r="M38" t="s">
        <v>262</v>
      </c>
      <c r="N38" t="s">
        <v>252</v>
      </c>
      <c r="O38">
        <v>3.9629628658294678</v>
      </c>
      <c r="P38" t="s">
        <v>249</v>
      </c>
    </row>
    <row r="39" spans="1:16" x14ac:dyDescent="0.35">
      <c r="A39" t="s">
        <v>10</v>
      </c>
      <c r="B39" t="s">
        <v>128</v>
      </c>
      <c r="C39" t="s">
        <v>136</v>
      </c>
      <c r="D39" t="s">
        <v>137</v>
      </c>
      <c r="E39" t="s">
        <v>138</v>
      </c>
      <c r="F39" t="s">
        <v>132</v>
      </c>
      <c r="G39">
        <v>809126442.03999996</v>
      </c>
      <c r="H39">
        <v>2.6751380150969731E-2</v>
      </c>
      <c r="I39">
        <v>0.1084135618492124</v>
      </c>
      <c r="J39">
        <v>3.2524068554763731E-2</v>
      </c>
      <c r="K39">
        <v>5.7581771429116024E-5</v>
      </c>
      <c r="L39" t="s">
        <v>236</v>
      </c>
      <c r="M39" t="s">
        <v>262</v>
      </c>
      <c r="N39" t="s">
        <v>261</v>
      </c>
      <c r="O39">
        <v>4.6999998092651367</v>
      </c>
      <c r="P39" t="s">
        <v>252</v>
      </c>
    </row>
    <row r="40" spans="1:16" x14ac:dyDescent="0.35">
      <c r="A40" t="s">
        <v>10</v>
      </c>
      <c r="B40" t="s">
        <v>128</v>
      </c>
      <c r="C40" t="s">
        <v>139</v>
      </c>
      <c r="D40" t="s">
        <v>140</v>
      </c>
      <c r="E40" t="s">
        <v>141</v>
      </c>
      <c r="F40" t="s">
        <v>61</v>
      </c>
      <c r="G40">
        <v>713464004.85000002</v>
      </c>
      <c r="H40">
        <v>2.3588583719566691E-2</v>
      </c>
      <c r="I40">
        <v>9.5595904420051642E-2</v>
      </c>
      <c r="J40">
        <v>2.8678771326015491E-2</v>
      </c>
      <c r="K40">
        <v>1.4148314501311043E-3</v>
      </c>
      <c r="L40" t="s">
        <v>263</v>
      </c>
      <c r="M40" t="s">
        <v>264</v>
      </c>
      <c r="N40" t="s">
        <v>264</v>
      </c>
      <c r="O40">
        <v>4.529411792755127</v>
      </c>
      <c r="P40" t="s">
        <v>264</v>
      </c>
    </row>
    <row r="41" spans="1:16" x14ac:dyDescent="0.35">
      <c r="A41" t="s">
        <v>10</v>
      </c>
      <c r="B41" t="s">
        <v>128</v>
      </c>
      <c r="C41" t="s">
        <v>142</v>
      </c>
      <c r="D41" t="s">
        <v>143</v>
      </c>
      <c r="E41" t="s">
        <v>144</v>
      </c>
      <c r="F41" t="s">
        <v>30</v>
      </c>
      <c r="G41">
        <v>556682073.77999997</v>
      </c>
      <c r="H41">
        <v>1.8405051429752631E-2</v>
      </c>
      <c r="I41">
        <v>7.4588943458496343E-2</v>
      </c>
      <c r="J41">
        <v>2.2376683037548899E-2</v>
      </c>
      <c r="K41">
        <v>3.3677869262227489E-6</v>
      </c>
      <c r="L41" t="s">
        <v>265</v>
      </c>
      <c r="M41" t="s">
        <v>266</v>
      </c>
      <c r="N41" t="s">
        <v>261</v>
      </c>
      <c r="O41">
        <v>4.8780488967895508</v>
      </c>
      <c r="P41" t="s">
        <v>261</v>
      </c>
    </row>
    <row r="42" spans="1:16" x14ac:dyDescent="0.35">
      <c r="A42" t="s">
        <v>10</v>
      </c>
      <c r="B42" t="s">
        <v>128</v>
      </c>
      <c r="C42" t="s">
        <v>145</v>
      </c>
      <c r="D42" t="s">
        <v>146</v>
      </c>
      <c r="E42" t="s">
        <v>147</v>
      </c>
      <c r="F42" t="s">
        <v>19</v>
      </c>
      <c r="G42">
        <v>523010381.36000001</v>
      </c>
      <c r="H42">
        <v>1.7291796198613589E-2</v>
      </c>
      <c r="I42">
        <v>7.0077327079306431E-2</v>
      </c>
      <c r="J42">
        <v>2.1023198123791931E-2</v>
      </c>
      <c r="K42">
        <v>8.743137082189989E-5</v>
      </c>
      <c r="L42" t="s">
        <v>263</v>
      </c>
      <c r="M42" t="s">
        <v>264</v>
      </c>
      <c r="N42" t="s">
        <v>267</v>
      </c>
      <c r="O42">
        <v>4.1999998092651367</v>
      </c>
      <c r="P42" t="s">
        <v>264</v>
      </c>
    </row>
    <row r="43" spans="1:16" x14ac:dyDescent="0.35">
      <c r="A43" t="s">
        <v>10</v>
      </c>
      <c r="B43" t="s">
        <v>128</v>
      </c>
      <c r="C43" t="s">
        <v>148</v>
      </c>
      <c r="D43" t="s">
        <v>149</v>
      </c>
      <c r="E43" t="s">
        <v>150</v>
      </c>
      <c r="F43" t="s">
        <v>19</v>
      </c>
      <c r="G43">
        <v>507049236.01999998</v>
      </c>
      <c r="H43">
        <v>1.676408798831374E-2</v>
      </c>
      <c r="I43">
        <v>6.7938718664607239E-2</v>
      </c>
      <c r="J43">
        <v>2.0381615599382171E-2</v>
      </c>
      <c r="K43">
        <v>6.6221910005714868E-5</v>
      </c>
      <c r="L43" t="s">
        <v>268</v>
      </c>
      <c r="M43" t="s">
        <v>269</v>
      </c>
      <c r="N43" t="s">
        <v>262</v>
      </c>
      <c r="O43">
        <v>3.5999999046325684</v>
      </c>
      <c r="P43" t="s">
        <v>269</v>
      </c>
    </row>
    <row r="44" spans="1:16" x14ac:dyDescent="0.35">
      <c r="A44" t="s">
        <v>10</v>
      </c>
      <c r="B44" t="s">
        <v>128</v>
      </c>
      <c r="C44" t="s">
        <v>151</v>
      </c>
      <c r="D44" t="s">
        <v>152</v>
      </c>
      <c r="E44" t="s">
        <v>153</v>
      </c>
      <c r="F44" t="s">
        <v>154</v>
      </c>
      <c r="G44">
        <v>425102643.92000002</v>
      </c>
      <c r="H44">
        <v>1.405476553456159E-2</v>
      </c>
      <c r="I44">
        <v>5.6958825449689492E-2</v>
      </c>
      <c r="J44">
        <v>1.708764763490685E-2</v>
      </c>
      <c r="K44">
        <v>4.238107165970284E-4</v>
      </c>
      <c r="L44" t="s">
        <v>248</v>
      </c>
      <c r="M44" t="s">
        <v>252</v>
      </c>
      <c r="N44" t="s">
        <v>249</v>
      </c>
      <c r="O44">
        <v>4.4193549156188965</v>
      </c>
      <c r="P44" t="s">
        <v>249</v>
      </c>
    </row>
    <row r="45" spans="1:16" x14ac:dyDescent="0.35">
      <c r="A45" t="s">
        <v>10</v>
      </c>
      <c r="B45" t="s">
        <v>128</v>
      </c>
      <c r="C45" t="s">
        <v>155</v>
      </c>
      <c r="D45" t="s">
        <v>156</v>
      </c>
      <c r="E45" t="s">
        <v>157</v>
      </c>
      <c r="F45" t="s">
        <v>61</v>
      </c>
      <c r="G45">
        <v>416844685.43000001</v>
      </c>
      <c r="H45">
        <v>1.3781740485126859E-2</v>
      </c>
      <c r="I45">
        <v>5.5852354758598677E-2</v>
      </c>
      <c r="J45">
        <v>1.6755706427579609E-2</v>
      </c>
      <c r="K45">
        <v>8.7980564748013634E-6</v>
      </c>
      <c r="L45" t="s">
        <v>270</v>
      </c>
      <c r="M45" t="s">
        <v>262</v>
      </c>
      <c r="N45" t="s">
        <v>262</v>
      </c>
      <c r="O45">
        <v>4.8305087089538574</v>
      </c>
      <c r="P45" t="s">
        <v>262</v>
      </c>
    </row>
    <row r="46" spans="1:16" x14ac:dyDescent="0.35">
      <c r="A46" t="s">
        <v>10</v>
      </c>
      <c r="B46" t="s">
        <v>128</v>
      </c>
      <c r="C46" t="s">
        <v>158</v>
      </c>
      <c r="D46" t="s">
        <v>159</v>
      </c>
      <c r="E46" t="s">
        <v>160</v>
      </c>
      <c r="F46" t="s">
        <v>38</v>
      </c>
      <c r="G46">
        <v>362944516.57999998</v>
      </c>
      <c r="H46">
        <v>1.199969032313682E-2</v>
      </c>
      <c r="I46">
        <v>4.8630357076049097E-2</v>
      </c>
      <c r="J46">
        <v>1.4589107122814729E-2</v>
      </c>
      <c r="K46">
        <v>7.9453981537414009E-6</v>
      </c>
      <c r="L46" t="s">
        <v>248</v>
      </c>
      <c r="M46" t="s">
        <v>262</v>
      </c>
      <c r="N46" t="s">
        <v>236</v>
      </c>
      <c r="O46">
        <v>4.529411792755127</v>
      </c>
      <c r="P46" t="s">
        <v>262</v>
      </c>
    </row>
    <row r="47" spans="1:16" x14ac:dyDescent="0.35">
      <c r="A47" t="s">
        <v>10</v>
      </c>
      <c r="B47" t="s">
        <v>128</v>
      </c>
      <c r="C47" t="s">
        <v>161</v>
      </c>
      <c r="D47" t="s">
        <v>162</v>
      </c>
      <c r="E47" t="s">
        <v>163</v>
      </c>
      <c r="F47" t="s">
        <v>34</v>
      </c>
      <c r="G47">
        <v>325529724.55000001</v>
      </c>
      <c r="H47">
        <v>1.076268053967146E-2</v>
      </c>
      <c r="I47">
        <v>4.3617208748337792E-2</v>
      </c>
      <c r="J47">
        <v>1.308516262450134E-2</v>
      </c>
      <c r="K47">
        <v>1.587606712760703E-10</v>
      </c>
      <c r="L47" t="s">
        <v>271</v>
      </c>
      <c r="M47" t="s">
        <v>266</v>
      </c>
      <c r="N47" t="s">
        <v>272</v>
      </c>
      <c r="O47">
        <v>3</v>
      </c>
      <c r="P47" t="s">
        <v>266</v>
      </c>
    </row>
    <row r="48" spans="1:16" x14ac:dyDescent="0.35">
      <c r="A48" t="s">
        <v>10</v>
      </c>
      <c r="B48" t="s">
        <v>128</v>
      </c>
      <c r="C48" t="s">
        <v>164</v>
      </c>
      <c r="D48" t="s">
        <v>165</v>
      </c>
      <c r="E48" t="s">
        <v>166</v>
      </c>
      <c r="F48" t="s">
        <v>38</v>
      </c>
      <c r="G48">
        <v>319162528.54000002</v>
      </c>
      <c r="H48">
        <v>1.0552167976851479E-2</v>
      </c>
      <c r="I48">
        <v>4.2764078307197091E-2</v>
      </c>
      <c r="J48">
        <v>1.282922349215913E-2</v>
      </c>
      <c r="K48">
        <v>3.3966799623863508E-5</v>
      </c>
      <c r="L48" t="s">
        <v>268</v>
      </c>
      <c r="M48" t="s">
        <v>269</v>
      </c>
      <c r="N48" t="s">
        <v>269</v>
      </c>
      <c r="O48">
        <v>3.7567567825317383</v>
      </c>
      <c r="P48" t="s">
        <v>269</v>
      </c>
    </row>
    <row r="49" spans="1:16" x14ac:dyDescent="0.35">
      <c r="A49" t="s">
        <v>10</v>
      </c>
      <c r="B49" t="s">
        <v>128</v>
      </c>
      <c r="C49" t="s">
        <v>167</v>
      </c>
      <c r="D49" t="s">
        <v>168</v>
      </c>
      <c r="E49" t="s">
        <v>169</v>
      </c>
      <c r="F49" t="s">
        <v>38</v>
      </c>
      <c r="G49">
        <v>309049197.52999997</v>
      </c>
      <c r="H49">
        <v>1.0217800505484469E-2</v>
      </c>
      <c r="I49">
        <v>4.1409009210468709E-2</v>
      </c>
      <c r="J49">
        <v>1.242270276314061E-2</v>
      </c>
      <c r="K49">
        <v>4.2979488580086045E-4</v>
      </c>
      <c r="L49" t="s">
        <v>273</v>
      </c>
      <c r="M49" t="s">
        <v>264</v>
      </c>
      <c r="N49" t="s">
        <v>264</v>
      </c>
      <c r="O49">
        <v>4.7142858505249023</v>
      </c>
      <c r="P49" t="s">
        <v>264</v>
      </c>
    </row>
    <row r="50" spans="1:16" x14ac:dyDescent="0.35">
      <c r="A50" t="s">
        <v>10</v>
      </c>
      <c r="B50" t="s">
        <v>128</v>
      </c>
      <c r="C50" t="s">
        <v>170</v>
      </c>
      <c r="D50" t="s">
        <v>171</v>
      </c>
      <c r="E50" t="s">
        <v>172</v>
      </c>
      <c r="F50" t="s">
        <v>23</v>
      </c>
      <c r="G50">
        <v>240190668.31</v>
      </c>
      <c r="H50">
        <v>7.9411962615833533E-3</v>
      </c>
      <c r="I50">
        <v>3.218276467244973E-2</v>
      </c>
      <c r="J50">
        <v>9.6548294017349181E-3</v>
      </c>
      <c r="K50">
        <v>1.0875131330323473E-4</v>
      </c>
      <c r="L50" t="s">
        <v>273</v>
      </c>
      <c r="M50" t="s">
        <v>260</v>
      </c>
      <c r="N50" t="s">
        <v>260</v>
      </c>
      <c r="O50">
        <v>4.53125</v>
      </c>
      <c r="P50" t="s">
        <v>260</v>
      </c>
    </row>
    <row r="51" spans="1:16" x14ac:dyDescent="0.35">
      <c r="A51" t="s">
        <v>10</v>
      </c>
      <c r="B51" t="s">
        <v>128</v>
      </c>
      <c r="C51" t="s">
        <v>173</v>
      </c>
      <c r="D51" t="s">
        <v>174</v>
      </c>
      <c r="E51" t="s">
        <v>175</v>
      </c>
      <c r="F51" t="s">
        <v>15</v>
      </c>
      <c r="G51">
        <v>216510068.71000001</v>
      </c>
      <c r="H51">
        <v>7.1582670564700893E-3</v>
      </c>
      <c r="I51">
        <v>2.9009838889814E-2</v>
      </c>
      <c r="J51">
        <v>8.7029516669442E-3</v>
      </c>
      <c r="K51">
        <v>3.6320905462683406E-5</v>
      </c>
      <c r="L51" t="s">
        <v>263</v>
      </c>
      <c r="M51" t="s">
        <v>264</v>
      </c>
      <c r="N51" t="s">
        <v>264</v>
      </c>
      <c r="O51">
        <v>4.7142858505249023</v>
      </c>
      <c r="P51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workbookViewId="0">
      <selection activeCell="E22" sqref="A1:P51"/>
    </sheetView>
  </sheetViews>
  <sheetFormatPr defaultRowHeight="14.5" x14ac:dyDescent="0.35"/>
  <cols>
    <col min="11" max="11" width="25.54296875" bestFit="1" customWidth="1"/>
    <col min="12" max="12" width="23.81640625" bestFit="1" customWidth="1"/>
    <col min="13" max="13" width="39.26953125" bestFit="1" customWidth="1"/>
    <col min="14" max="14" width="35.81640625" bestFit="1" customWidth="1"/>
    <col min="15" max="15" width="24.54296875" bestFit="1" customWidth="1"/>
    <col min="16" max="16" width="4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x14ac:dyDescent="0.35">
      <c r="A2" t="s">
        <v>176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9.9422564149613007E-2</v>
      </c>
      <c r="J2">
        <v>4.9711282074806497E-2</v>
      </c>
      <c r="K2" t="e" cm="1">
        <f t="array" aca="1" ref="K2" ca="1">_xll.BDP(E2,"BB_1YR_DEFAULT_PROB")</f>
        <v>#NAME?</v>
      </c>
      <c r="L2" t="e" cm="1">
        <f t="array" aca="1" ref="L2" ca="1">_xll.BDP(E2,"RTG_MOODY_LONG_TERM")</f>
        <v>#NAME?</v>
      </c>
      <c r="M2" t="e" cm="1">
        <f t="array" aca="1" ref="M2" ca="1">_xll.BDP(E2,"RTG_SP_LT_LC_ISSUER_CREDIT")</f>
        <v>#NAME?</v>
      </c>
      <c r="N2" t="e" cm="1">
        <f t="array" aca="1" ref="N2" ca="1">_xll.BDP(E2,"RTG_FITCH_LT_ISSUER_DEFAULT")</f>
        <v>#NAME?</v>
      </c>
      <c r="O2" t="e" cm="1">
        <f t="array" aca="1" ref="O2" ca="1">_xll.BDP(E2,"BEST_ANALYST_RATING")</f>
        <v>#NAME?</v>
      </c>
      <c r="P2" t="e" cm="1">
        <f t="array" aca="1" ref="P2" ca="1">_xll.BDP(E2,"BB_ISSR_COMP_BSE_ON_RTGS")</f>
        <v>#NAME?</v>
      </c>
    </row>
    <row r="3" spans="1:16" x14ac:dyDescent="0.35">
      <c r="A3" t="s">
        <v>176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9.1099084284395032E-2</v>
      </c>
      <c r="J3">
        <v>4.5549542142197523E-2</v>
      </c>
      <c r="K3" t="e" cm="1">
        <f t="array" aca="1" ref="K3" ca="1">_xll.BDP(E3,"BB_1YR_DEFAULT_PROB")</f>
        <v>#NAME?</v>
      </c>
      <c r="L3" t="e" cm="1">
        <f t="array" aca="1" ref="L3" ca="1">_xll.BDP(E3,"RTG_MOODY_LONG_TERM")</f>
        <v>#NAME?</v>
      </c>
      <c r="M3" t="e" cm="1">
        <f t="array" aca="1" ref="M3" ca="1">_xll.BDP(E3,"RTG_SP_LT_LC_ISSUER_CREDIT")</f>
        <v>#NAME?</v>
      </c>
      <c r="N3" t="e" cm="1">
        <f t="array" aca="1" ref="N3" ca="1">_xll.BDP(E3,"RTG_FITCH_LT_ISSUER_DEFAULT")</f>
        <v>#NAME?</v>
      </c>
      <c r="O3" t="e" cm="1">
        <f t="array" aca="1" ref="O3" ca="1">_xll.BDP(E3,"BEST_ANALYST_RATING")</f>
        <v>#NAME?</v>
      </c>
      <c r="P3" t="e" cm="1">
        <f t="array" aca="1" ref="P3" ca="1">_xll.BDP(E3,"BB_ISSR_COMP_BSE_ON_RTGS")</f>
        <v>#NAME?</v>
      </c>
    </row>
    <row r="4" spans="1:16" x14ac:dyDescent="0.35">
      <c r="A4" t="s">
        <v>176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7.4416710452082674E-2</v>
      </c>
      <c r="J4">
        <v>3.7208355226041337E-2</v>
      </c>
      <c r="K4" t="e" cm="1">
        <f t="array" aca="1" ref="K4" ca="1">_xll.BDP(E4,"BB_1YR_DEFAULT_PROB")</f>
        <v>#NAME?</v>
      </c>
      <c r="L4" t="e" cm="1">
        <f t="array" aca="1" ref="L4" ca="1">_xll.BDP(E4,"RTG_MOODY_LONG_TERM")</f>
        <v>#NAME?</v>
      </c>
      <c r="M4" t="e" cm="1">
        <f t="array" aca="1" ref="M4" ca="1">_xll.BDP(E4,"RTG_SP_LT_LC_ISSUER_CREDIT")</f>
        <v>#NAME?</v>
      </c>
      <c r="N4" t="e" cm="1">
        <f t="array" aca="1" ref="N4" ca="1">_xll.BDP(E4,"RTG_FITCH_LT_ISSUER_DEFAULT")</f>
        <v>#NAME?</v>
      </c>
      <c r="O4" t="e" cm="1">
        <f t="array" aca="1" ref="O4" ca="1">_xll.BDP(E4,"BEST_ANALYST_RATING")</f>
        <v>#NAME?</v>
      </c>
      <c r="P4" t="e" cm="1">
        <f t="array" aca="1" ref="P4" ca="1">_xll.BDP(E4,"BB_ISSR_COMP_BSE_ON_RTGS")</f>
        <v>#NAME?</v>
      </c>
    </row>
    <row r="5" spans="1:16" x14ac:dyDescent="0.35">
      <c r="A5" t="s">
        <v>176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6.0556414005021243E-2</v>
      </c>
      <c r="J5">
        <v>3.0278207002510622E-2</v>
      </c>
      <c r="K5" t="e" cm="1">
        <f t="array" aca="1" ref="K5" ca="1">_xll.BDP(E5,"BB_1YR_DEFAULT_PROB")</f>
        <v>#NAME?</v>
      </c>
      <c r="L5" t="e" cm="1">
        <f t="array" aca="1" ref="L5" ca="1">_xll.BDP(E5,"RTG_MOODY_LONG_TERM")</f>
        <v>#NAME?</v>
      </c>
      <c r="M5" t="e" cm="1">
        <f t="array" aca="1" ref="M5" ca="1">_xll.BDP(E5,"RTG_SP_LT_LC_ISSUER_CREDIT")</f>
        <v>#NAME?</v>
      </c>
      <c r="N5" t="e" cm="1">
        <f t="array" aca="1" ref="N5" ca="1">_xll.BDP(E5,"RTG_FITCH_LT_ISSUER_DEFAULT")</f>
        <v>#NAME?</v>
      </c>
      <c r="O5" t="e" cm="1">
        <f t="array" aca="1" ref="O5" ca="1">_xll.BDP(E5,"BEST_ANALYST_RATING")</f>
        <v>#NAME?</v>
      </c>
      <c r="P5" t="e" cm="1">
        <f t="array" aca="1" ref="P5" ca="1">_xll.BDP(E5,"BB_ISSR_COMP_BSE_ON_RTGS")</f>
        <v>#NAME?</v>
      </c>
    </row>
    <row r="6" spans="1:16" x14ac:dyDescent="0.35">
      <c r="A6" t="s">
        <v>176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4.443702720855295E-2</v>
      </c>
      <c r="J6">
        <v>2.2218513604276471E-2</v>
      </c>
      <c r="K6" t="e" cm="1">
        <f t="array" aca="1" ref="K6" ca="1">_xll.BDP(E6,"BB_1YR_DEFAULT_PROB")</f>
        <v>#NAME?</v>
      </c>
      <c r="L6" t="e" cm="1">
        <f t="array" aca="1" ref="L6" ca="1">_xll.BDP(E6,"RTG_MOODY_LONG_TERM")</f>
        <v>#NAME?</v>
      </c>
      <c r="M6" t="e" cm="1">
        <f t="array" aca="1" ref="M6" ca="1">_xll.BDP(E6,"RTG_SP_LT_LC_ISSUER_CREDIT")</f>
        <v>#NAME?</v>
      </c>
      <c r="N6" t="e" cm="1">
        <f t="array" aca="1" ref="N6" ca="1">_xll.BDP(E6,"RTG_FITCH_LT_ISSUER_DEFAULT")</f>
        <v>#NAME?</v>
      </c>
      <c r="O6" t="e" cm="1">
        <f t="array" aca="1" ref="O6" ca="1">_xll.BDP(E6,"BEST_ANALYST_RATING")</f>
        <v>#NAME?</v>
      </c>
      <c r="P6" t="e" cm="1">
        <f t="array" aca="1" ref="P6" ca="1">_xll.BDP(E6,"BB_ISSR_COMP_BSE_ON_RTGS")</f>
        <v>#NAME?</v>
      </c>
    </row>
    <row r="7" spans="1:16" x14ac:dyDescent="0.35">
      <c r="A7" t="s">
        <v>176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4.1410664029944401E-2</v>
      </c>
      <c r="J7">
        <v>2.07053320149722E-2</v>
      </c>
      <c r="K7" t="e" cm="1">
        <f t="array" aca="1" ref="K7" ca="1">_xll.BDP(E7,"BB_1YR_DEFAULT_PROB")</f>
        <v>#NAME?</v>
      </c>
      <c r="L7" t="e" cm="1">
        <f t="array" aca="1" ref="L7" ca="1">_xll.BDP(E7,"RTG_MOODY_LONG_TERM")</f>
        <v>#NAME?</v>
      </c>
      <c r="M7" t="e" cm="1">
        <f t="array" aca="1" ref="M7" ca="1">_xll.BDP(E7,"RTG_SP_LT_LC_ISSUER_CREDIT")</f>
        <v>#NAME?</v>
      </c>
      <c r="N7" t="e" cm="1">
        <f t="array" aca="1" ref="N7" ca="1">_xll.BDP(E7,"RTG_FITCH_LT_ISSUER_DEFAULT")</f>
        <v>#NAME?</v>
      </c>
      <c r="O7" t="e" cm="1">
        <f t="array" aca="1" ref="O7" ca="1">_xll.BDP(E7,"BEST_ANALYST_RATING")</f>
        <v>#NAME?</v>
      </c>
      <c r="P7" t="e" cm="1">
        <f t="array" aca="1" ref="P7" ca="1">_xll.BDP(E7,"BB_ISSR_COMP_BSE_ON_RTGS")</f>
        <v>#NAME?</v>
      </c>
    </row>
    <row r="8" spans="1:16" x14ac:dyDescent="0.35">
      <c r="A8" t="s">
        <v>176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4.13307181701459E-2</v>
      </c>
      <c r="J8">
        <v>2.066535908507295E-2</v>
      </c>
      <c r="K8" t="e" cm="1">
        <f t="array" aca="1" ref="K8" ca="1">_xll.BDP(E8,"BB_1YR_DEFAULT_PROB")</f>
        <v>#NAME?</v>
      </c>
      <c r="L8" t="e" cm="1">
        <f t="array" aca="1" ref="L8" ca="1">_xll.BDP(E8,"RTG_MOODY_LONG_TERM")</f>
        <v>#NAME?</v>
      </c>
      <c r="M8" t="e" cm="1">
        <f t="array" aca="1" ref="M8" ca="1">_xll.BDP(E8,"RTG_SP_LT_LC_ISSUER_CREDIT")</f>
        <v>#NAME?</v>
      </c>
      <c r="N8" t="e" cm="1">
        <f t="array" aca="1" ref="N8" ca="1">_xll.BDP(E8,"RTG_FITCH_LT_ISSUER_DEFAULT")</f>
        <v>#NAME?</v>
      </c>
      <c r="O8" t="e" cm="1">
        <f t="array" aca="1" ref="O8" ca="1">_xll.BDP(E8,"BEST_ANALYST_RATING")</f>
        <v>#NAME?</v>
      </c>
      <c r="P8" t="e" cm="1">
        <f t="array" aca="1" ref="P8" ca="1">_xll.BDP(E8,"BB_ISSR_COMP_BSE_ON_RTGS")</f>
        <v>#NAME?</v>
      </c>
    </row>
    <row r="9" spans="1:16" x14ac:dyDescent="0.35">
      <c r="A9" t="s">
        <v>176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4.0468967087326092E-2</v>
      </c>
      <c r="J9">
        <v>2.0234483543663039E-2</v>
      </c>
      <c r="K9" t="e" cm="1">
        <f t="array" aca="1" ref="K9" ca="1">_xll.BDP(E9,"BB_1YR_DEFAULT_PROB")</f>
        <v>#NAME?</v>
      </c>
      <c r="L9" t="e" cm="1">
        <f t="array" aca="1" ref="L9" ca="1">_xll.BDP(E9,"RTG_MOODY_LONG_TERM")</f>
        <v>#NAME?</v>
      </c>
      <c r="M9" t="e" cm="1">
        <f t="array" aca="1" ref="M9" ca="1">_xll.BDP(E9,"RTG_SP_LT_LC_ISSUER_CREDIT")</f>
        <v>#NAME?</v>
      </c>
      <c r="N9" t="e" cm="1">
        <f t="array" aca="1" ref="N9" ca="1">_xll.BDP(E9,"RTG_FITCH_LT_ISSUER_DEFAULT")</f>
        <v>#NAME?</v>
      </c>
      <c r="O9" t="e" cm="1">
        <f t="array" aca="1" ref="O9" ca="1">_xll.BDP(E9,"BEST_ANALYST_RATING")</f>
        <v>#NAME?</v>
      </c>
      <c r="P9" t="e" cm="1">
        <f t="array" aca="1" ref="P9" ca="1">_xll.BDP(E9,"BB_ISSR_COMP_BSE_ON_RTGS")</f>
        <v>#NAME?</v>
      </c>
    </row>
    <row r="10" spans="1:16" x14ac:dyDescent="0.35">
      <c r="A10" t="s">
        <v>176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3.9557247754802301E-2</v>
      </c>
      <c r="J10">
        <v>1.977862387740115E-2</v>
      </c>
      <c r="K10" t="e" cm="1">
        <f t="array" aca="1" ref="K10" ca="1">_xll.BDP(E10,"BB_1YR_DEFAULT_PROB")</f>
        <v>#NAME?</v>
      </c>
      <c r="L10" t="e" cm="1">
        <f t="array" aca="1" ref="L10" ca="1">_xll.BDP(E10,"RTG_MOODY_LONG_TERM")</f>
        <v>#NAME?</v>
      </c>
      <c r="M10" t="e" cm="1">
        <f t="array" aca="1" ref="M10" ca="1">_xll.BDP(E10,"RTG_SP_LT_LC_ISSUER_CREDIT")</f>
        <v>#NAME?</v>
      </c>
      <c r="N10" t="e" cm="1">
        <f t="array" aca="1" ref="N10" ca="1">_xll.BDP(E10,"RTG_FITCH_LT_ISSUER_DEFAULT")</f>
        <v>#NAME?</v>
      </c>
      <c r="O10" t="e" cm="1">
        <f t="array" aca="1" ref="O10" ca="1">_xll.BDP(E10,"BEST_ANALYST_RATING")</f>
        <v>#NAME?</v>
      </c>
      <c r="P10" t="e" cm="1">
        <f t="array" aca="1" ref="P10" ca="1">_xll.BDP(E10,"BB_ISSR_COMP_BSE_ON_RTGS")</f>
        <v>#NAME?</v>
      </c>
    </row>
    <row r="11" spans="1:16" x14ac:dyDescent="0.35">
      <c r="A11" t="s">
        <v>176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3.7597951889273611E-2</v>
      </c>
      <c r="J11">
        <v>1.8798975944636809E-2</v>
      </c>
      <c r="K11" t="e" cm="1">
        <f t="array" aca="1" ref="K11" ca="1">_xll.BDP(E11,"BB_1YR_DEFAULT_PROB")</f>
        <v>#NAME?</v>
      </c>
      <c r="L11" t="e" cm="1">
        <f t="array" aca="1" ref="L11" ca="1">_xll.BDP(E11,"RTG_MOODY_LONG_TERM")</f>
        <v>#NAME?</v>
      </c>
      <c r="M11" t="e" cm="1">
        <f t="array" aca="1" ref="M11" ca="1">_xll.BDP(E11,"RTG_SP_LT_LC_ISSUER_CREDIT")</f>
        <v>#NAME?</v>
      </c>
      <c r="N11" t="e" cm="1">
        <f t="array" aca="1" ref="N11" ca="1">_xll.BDP(E11,"RTG_FITCH_LT_ISSUER_DEFAULT")</f>
        <v>#NAME?</v>
      </c>
      <c r="O11" t="e" cm="1">
        <f t="array" aca="1" ref="O11" ca="1">_xll.BDP(E11,"BEST_ANALYST_RATING")</f>
        <v>#NAME?</v>
      </c>
      <c r="P11" t="e" cm="1">
        <f t="array" aca="1" ref="P11" ca="1">_xll.BDP(E11,"BB_ISSR_COMP_BSE_ON_RTGS")</f>
        <v>#NAME?</v>
      </c>
    </row>
    <row r="12" spans="1:16" x14ac:dyDescent="0.35">
      <c r="A12" t="s">
        <v>176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3.7564610983663337E-2</v>
      </c>
      <c r="J12">
        <v>1.8782305491831668E-2</v>
      </c>
      <c r="K12" t="e" cm="1">
        <f t="array" aca="1" ref="K12" ca="1">_xll.BDP(E12,"BB_1YR_DEFAULT_PROB")</f>
        <v>#NAME?</v>
      </c>
      <c r="L12" t="e" cm="1">
        <f t="array" aca="1" ref="L12" ca="1">_xll.BDP(E12,"RTG_MOODY_LONG_TERM")</f>
        <v>#NAME?</v>
      </c>
      <c r="M12" t="e" cm="1">
        <f t="array" aca="1" ref="M12" ca="1">_xll.BDP(E12,"RTG_SP_LT_LC_ISSUER_CREDIT")</f>
        <v>#NAME?</v>
      </c>
      <c r="N12" t="e" cm="1">
        <f t="array" aca="1" ref="N12" ca="1">_xll.BDP(E12,"RTG_FITCH_LT_ISSUER_DEFAULT")</f>
        <v>#NAME?</v>
      </c>
      <c r="O12" t="e" cm="1">
        <f t="array" aca="1" ref="O12" ca="1">_xll.BDP(E12,"BEST_ANALYST_RATING")</f>
        <v>#NAME?</v>
      </c>
      <c r="P12" t="e" cm="1">
        <f t="array" aca="1" ref="P12" ca="1">_xll.BDP(E12,"BB_ISSR_COMP_BSE_ON_RTGS")</f>
        <v>#NAME?</v>
      </c>
    </row>
    <row r="13" spans="1:16" x14ac:dyDescent="0.35">
      <c r="A13" t="s">
        <v>176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3.6018650121057788E-2</v>
      </c>
      <c r="J13">
        <v>1.8009325060528891E-2</v>
      </c>
      <c r="K13" t="e" cm="1">
        <f t="array" aca="1" ref="K13" ca="1">_xll.BDP(E13,"BB_1YR_DEFAULT_PROB")</f>
        <v>#NAME?</v>
      </c>
      <c r="L13" t="e" cm="1">
        <f t="array" aca="1" ref="L13" ca="1">_xll.BDP(E13,"RTG_MOODY_LONG_TERM")</f>
        <v>#NAME?</v>
      </c>
      <c r="M13" t="e" cm="1">
        <f t="array" aca="1" ref="M13" ca="1">_xll.BDP(E13,"RTG_SP_LT_LC_ISSUER_CREDIT")</f>
        <v>#NAME?</v>
      </c>
      <c r="N13" t="e" cm="1">
        <f t="array" aca="1" ref="N13" ca="1">_xll.BDP(E13,"RTG_FITCH_LT_ISSUER_DEFAULT")</f>
        <v>#NAME?</v>
      </c>
      <c r="O13" t="e" cm="1">
        <f t="array" aca="1" ref="O13" ca="1">_xll.BDP(E13,"BEST_ANALYST_RATING")</f>
        <v>#NAME?</v>
      </c>
      <c r="P13" t="e" cm="1">
        <f t="array" aca="1" ref="P13" ca="1">_xll.BDP(E13,"BB_ISSR_COMP_BSE_ON_RTGS")</f>
        <v>#NAME?</v>
      </c>
    </row>
    <row r="14" spans="1:16" x14ac:dyDescent="0.35">
      <c r="A14" t="s">
        <v>176</v>
      </c>
      <c r="B14" t="s">
        <v>11</v>
      </c>
      <c r="C14" t="s">
        <v>55</v>
      </c>
      <c r="D14" t="s">
        <v>56</v>
      </c>
      <c r="E14" t="s">
        <v>57</v>
      </c>
      <c r="F14" t="s">
        <v>38</v>
      </c>
      <c r="G14">
        <v>132368241.48</v>
      </c>
      <c r="H14">
        <v>8.0360492379930783E-3</v>
      </c>
      <c r="I14">
        <v>3.2931607702402013E-2</v>
      </c>
      <c r="J14">
        <v>1.646580385120101E-2</v>
      </c>
      <c r="K14" t="e" cm="1">
        <f t="array" aca="1" ref="K14" ca="1">_xll.BDP(E14,"BB_1YR_DEFAULT_PROB")</f>
        <v>#NAME?</v>
      </c>
      <c r="L14" t="e" cm="1">
        <f t="array" aca="1" ref="L14" ca="1">_xll.BDP(E14,"RTG_MOODY_LONG_TERM")</f>
        <v>#NAME?</v>
      </c>
      <c r="M14" t="e" cm="1">
        <f t="array" aca="1" ref="M14" ca="1">_xll.BDP(E14,"RTG_SP_LT_LC_ISSUER_CREDIT")</f>
        <v>#NAME?</v>
      </c>
      <c r="N14" t="e" cm="1">
        <f t="array" aca="1" ref="N14" ca="1">_xll.BDP(E14,"RTG_FITCH_LT_ISSUER_DEFAULT")</f>
        <v>#NAME?</v>
      </c>
      <c r="O14" t="e" cm="1">
        <f t="array" aca="1" ref="O14" ca="1">_xll.BDP(E14,"BEST_ANALYST_RATING")</f>
        <v>#NAME?</v>
      </c>
      <c r="P14" t="e" cm="1">
        <f t="array" aca="1" ref="P14" ca="1">_xll.BDP(E14,"BB_ISSR_COMP_BSE_ON_RTGS")</f>
        <v>#NAME?</v>
      </c>
    </row>
    <row r="15" spans="1:16" x14ac:dyDescent="0.35">
      <c r="A15" t="s">
        <v>176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3.2632674056761818E-2</v>
      </c>
      <c r="J15">
        <v>1.6316337028380909E-2</v>
      </c>
      <c r="K15" t="e" cm="1">
        <f t="array" aca="1" ref="K15" ca="1">_xll.BDP(E15,"BB_1YR_DEFAULT_PROB")</f>
        <v>#NAME?</v>
      </c>
      <c r="L15" t="e" cm="1">
        <f t="array" aca="1" ref="L15" ca="1">_xll.BDP(E15,"RTG_MOODY_LONG_TERM")</f>
        <v>#NAME?</v>
      </c>
      <c r="M15" t="e" cm="1">
        <f t="array" aca="1" ref="M15" ca="1">_xll.BDP(E15,"RTG_SP_LT_LC_ISSUER_CREDIT")</f>
        <v>#NAME?</v>
      </c>
      <c r="N15" t="e" cm="1">
        <f t="array" aca="1" ref="N15" ca="1">_xll.BDP(E15,"RTG_FITCH_LT_ISSUER_DEFAULT")</f>
        <v>#NAME?</v>
      </c>
      <c r="O15" t="e" cm="1">
        <f t="array" aca="1" ref="O15" ca="1">_xll.BDP(E15,"BEST_ANALYST_RATING")</f>
        <v>#NAME?</v>
      </c>
      <c r="P15" t="e" cm="1">
        <f t="array" aca="1" ref="P15" ca="1">_xll.BDP(E15,"BB_ISSR_COMP_BSE_ON_RTGS")</f>
        <v>#NAME?</v>
      </c>
    </row>
    <row r="16" spans="1:16" x14ac:dyDescent="0.35">
      <c r="A16" t="s">
        <v>176</v>
      </c>
      <c r="B16" t="s">
        <v>11</v>
      </c>
      <c r="C16" t="s">
        <v>62</v>
      </c>
      <c r="D16" t="s">
        <v>63</v>
      </c>
      <c r="E16" t="s">
        <v>64</v>
      </c>
      <c r="F16" t="s">
        <v>19</v>
      </c>
      <c r="G16">
        <v>131086786.5</v>
      </c>
      <c r="H16">
        <v>7.9582523646614389E-3</v>
      </c>
      <c r="I16">
        <v>3.2612797297294188E-2</v>
      </c>
      <c r="J16">
        <v>1.6306398648647091E-2</v>
      </c>
      <c r="K16" t="e" cm="1">
        <f t="array" aca="1" ref="K16" ca="1">_xll.BDP(E16,"BB_1YR_DEFAULT_PROB")</f>
        <v>#NAME?</v>
      </c>
      <c r="L16" t="e" cm="1">
        <f t="array" aca="1" ref="L16" ca="1">_xll.BDP(E16,"RTG_MOODY_LONG_TERM")</f>
        <v>#NAME?</v>
      </c>
      <c r="M16" t="e" cm="1">
        <f t="array" aca="1" ref="M16" ca="1">_xll.BDP(E16,"RTG_SP_LT_LC_ISSUER_CREDIT")</f>
        <v>#NAME?</v>
      </c>
      <c r="N16" t="e" cm="1">
        <f t="array" aca="1" ref="N16" ca="1">_xll.BDP(E16,"RTG_FITCH_LT_ISSUER_DEFAULT")</f>
        <v>#NAME?</v>
      </c>
      <c r="O16" t="e" cm="1">
        <f t="array" aca="1" ref="O16" ca="1">_xll.BDP(E16,"BEST_ANALYST_RATING")</f>
        <v>#NAME?</v>
      </c>
      <c r="P16" t="e" cm="1">
        <f t="array" aca="1" ref="P16" ca="1">_xll.BDP(E16,"BB_ISSR_COMP_BSE_ON_RTGS")</f>
        <v>#NAME?</v>
      </c>
    </row>
    <row r="17" spans="1:16" x14ac:dyDescent="0.35">
      <c r="A17" t="s">
        <v>176</v>
      </c>
      <c r="B17" t="s">
        <v>11</v>
      </c>
      <c r="C17" t="s">
        <v>65</v>
      </c>
      <c r="D17" t="s">
        <v>66</v>
      </c>
      <c r="E17" t="s">
        <v>67</v>
      </c>
      <c r="F17" t="s">
        <v>68</v>
      </c>
      <c r="G17">
        <v>122143598.7</v>
      </c>
      <c r="H17">
        <v>7.4153132374065239E-3</v>
      </c>
      <c r="I17">
        <v>3.0387841001542491E-2</v>
      </c>
      <c r="J17">
        <v>1.519392050077124E-2</v>
      </c>
      <c r="K17" t="e" cm="1">
        <f t="array" aca="1" ref="K17" ca="1">_xll.BDP(E17,"BB_1YR_DEFAULT_PROB")</f>
        <v>#NAME?</v>
      </c>
      <c r="L17" t="e" cm="1">
        <f t="array" aca="1" ref="L17" ca="1">_xll.BDP(E17,"RTG_MOODY_LONG_TERM")</f>
        <v>#NAME?</v>
      </c>
      <c r="M17" t="e" cm="1">
        <f t="array" aca="1" ref="M17" ca="1">_xll.BDP(E17,"RTG_SP_LT_LC_ISSUER_CREDIT")</f>
        <v>#NAME?</v>
      </c>
      <c r="N17" t="e" cm="1">
        <f t="array" aca="1" ref="N17" ca="1">_xll.BDP(E17,"RTG_FITCH_LT_ISSUER_DEFAULT")</f>
        <v>#NAME?</v>
      </c>
      <c r="O17" t="e" cm="1">
        <f t="array" aca="1" ref="O17" ca="1">_xll.BDP(E17,"BEST_ANALYST_RATING")</f>
        <v>#NAME?</v>
      </c>
      <c r="P17" t="e" cm="1">
        <f t="array" aca="1" ref="P17" ca="1">_xll.BDP(E17,"BB_ISSR_COMP_BSE_ON_RTGS")</f>
        <v>#NAME?</v>
      </c>
    </row>
    <row r="18" spans="1:16" x14ac:dyDescent="0.35">
      <c r="A18" t="s">
        <v>176</v>
      </c>
      <c r="B18" t="s">
        <v>11</v>
      </c>
      <c r="C18" t="s">
        <v>69</v>
      </c>
      <c r="D18" t="s">
        <v>70</v>
      </c>
      <c r="E18" t="s">
        <v>71</v>
      </c>
      <c r="F18" t="s">
        <v>19</v>
      </c>
      <c r="G18">
        <v>118552234.94</v>
      </c>
      <c r="H18">
        <v>7.1972822680122176E-3</v>
      </c>
      <c r="I18">
        <v>2.9494353401053261E-2</v>
      </c>
      <c r="J18">
        <v>1.474717670052663E-2</v>
      </c>
      <c r="K18" t="e" cm="1">
        <f t="array" aca="1" ref="K18" ca="1">_xll.BDP(E18,"BB_1YR_DEFAULT_PROB")</f>
        <v>#NAME?</v>
      </c>
      <c r="L18" t="e" cm="1">
        <f t="array" aca="1" ref="L18" ca="1">_xll.BDP(E18,"RTG_MOODY_LONG_TERM")</f>
        <v>#NAME?</v>
      </c>
      <c r="M18" t="e" cm="1">
        <f t="array" aca="1" ref="M18" ca="1">_xll.BDP(E18,"RTG_SP_LT_LC_ISSUER_CREDIT")</f>
        <v>#NAME?</v>
      </c>
      <c r="N18" t="e" cm="1">
        <f t="array" aca="1" ref="N18" ca="1">_xll.BDP(E18,"RTG_FITCH_LT_ISSUER_DEFAULT")</f>
        <v>#NAME?</v>
      </c>
      <c r="O18" t="e" cm="1">
        <f t="array" aca="1" ref="O18" ca="1">_xll.BDP(E18,"BEST_ANALYST_RATING")</f>
        <v>#NAME?</v>
      </c>
      <c r="P18" t="e" cm="1">
        <f t="array" aca="1" ref="P18" ca="1">_xll.BDP(E18,"BB_ISSR_COMP_BSE_ON_RTGS")</f>
        <v>#NAME?</v>
      </c>
    </row>
    <row r="19" spans="1:16" x14ac:dyDescent="0.35">
      <c r="A19" t="s">
        <v>176</v>
      </c>
      <c r="B19" t="s">
        <v>11</v>
      </c>
      <c r="C19" t="s">
        <v>72</v>
      </c>
      <c r="D19" t="s">
        <v>73</v>
      </c>
      <c r="E19" t="s">
        <v>74</v>
      </c>
      <c r="F19" t="s">
        <v>38</v>
      </c>
      <c r="G19">
        <v>113136953.84999999</v>
      </c>
      <c r="H19">
        <v>6.8685216454471149E-3</v>
      </c>
      <c r="I19">
        <v>2.814709736395421E-2</v>
      </c>
      <c r="J19">
        <v>1.40735486819771E-2</v>
      </c>
      <c r="K19" t="e" cm="1">
        <f t="array" aca="1" ref="K19" ca="1">_xll.BDP(E19,"BB_1YR_DEFAULT_PROB")</f>
        <v>#NAME?</v>
      </c>
      <c r="L19" t="e" cm="1">
        <f t="array" aca="1" ref="L19" ca="1">_xll.BDP(E19,"RTG_MOODY_LONG_TERM")</f>
        <v>#NAME?</v>
      </c>
      <c r="M19" t="e" cm="1">
        <f t="array" aca="1" ref="M19" ca="1">_xll.BDP(E19,"RTG_SP_LT_LC_ISSUER_CREDIT")</f>
        <v>#NAME?</v>
      </c>
      <c r="N19" t="e" cm="1">
        <f t="array" aca="1" ref="N19" ca="1">_xll.BDP(E19,"RTG_FITCH_LT_ISSUER_DEFAULT")</f>
        <v>#NAME?</v>
      </c>
      <c r="O19" t="e" cm="1">
        <f t="array" aca="1" ref="O19" ca="1">_xll.BDP(E19,"BEST_ANALYST_RATING")</f>
        <v>#NAME?</v>
      </c>
      <c r="P19" t="e" cm="1">
        <f t="array" aca="1" ref="P19" ca="1">_xll.BDP(E19,"BB_ISSR_COMP_BSE_ON_RTGS")</f>
        <v>#NAME?</v>
      </c>
    </row>
    <row r="20" spans="1:16" x14ac:dyDescent="0.35">
      <c r="A20" t="s">
        <v>176</v>
      </c>
      <c r="B20" t="s">
        <v>11</v>
      </c>
      <c r="C20" t="s">
        <v>75</v>
      </c>
      <c r="D20" t="s">
        <v>76</v>
      </c>
      <c r="E20" t="s">
        <v>77</v>
      </c>
      <c r="F20" t="s">
        <v>30</v>
      </c>
      <c r="G20">
        <v>112366772.53</v>
      </c>
      <c r="H20">
        <v>6.8217640928763361E-3</v>
      </c>
      <c r="I20">
        <v>2.7955485623808889E-2</v>
      </c>
      <c r="J20">
        <v>1.3977742811904441E-2</v>
      </c>
      <c r="K20" t="e" cm="1">
        <f t="array" aca="1" ref="K20" ca="1">_xll.BDP(E20,"BB_1YR_DEFAULT_PROB")</f>
        <v>#NAME?</v>
      </c>
      <c r="L20" t="e" cm="1">
        <f t="array" aca="1" ref="L20" ca="1">_xll.BDP(E20,"RTG_MOODY_LONG_TERM")</f>
        <v>#NAME?</v>
      </c>
      <c r="M20" t="e" cm="1">
        <f t="array" aca="1" ref="M20" ca="1">_xll.BDP(E20,"RTG_SP_LT_LC_ISSUER_CREDIT")</f>
        <v>#NAME?</v>
      </c>
      <c r="N20" t="e" cm="1">
        <f t="array" aca="1" ref="N20" ca="1">_xll.BDP(E20,"RTG_FITCH_LT_ISSUER_DEFAULT")</f>
        <v>#NAME?</v>
      </c>
      <c r="O20" t="e" cm="1">
        <f t="array" aca="1" ref="O20" ca="1">_xll.BDP(E20,"BEST_ANALYST_RATING")</f>
        <v>#NAME?</v>
      </c>
      <c r="P20" t="e" cm="1">
        <f t="array" aca="1" ref="P20" ca="1">_xll.BDP(E20,"BB_ISSR_COMP_BSE_ON_RTGS")</f>
        <v>#NAME?</v>
      </c>
    </row>
    <row r="21" spans="1:16" x14ac:dyDescent="0.35">
      <c r="A21" t="s">
        <v>176</v>
      </c>
      <c r="B21" t="s">
        <v>11</v>
      </c>
      <c r="C21" t="s">
        <v>78</v>
      </c>
      <c r="D21" t="s">
        <v>79</v>
      </c>
      <c r="E21" t="s">
        <v>80</v>
      </c>
      <c r="F21" t="s">
        <v>19</v>
      </c>
      <c r="G21">
        <v>112256692.86</v>
      </c>
      <c r="H21">
        <v>6.8150811783166858E-3</v>
      </c>
      <c r="I21">
        <v>2.7928099141462989E-2</v>
      </c>
      <c r="J21">
        <v>1.3964049570731491E-2</v>
      </c>
      <c r="K21" t="e" cm="1">
        <f t="array" aca="1" ref="K21" ca="1">_xll.BDP(E21,"BB_1YR_DEFAULT_PROB")</f>
        <v>#NAME?</v>
      </c>
      <c r="L21" t="e" cm="1">
        <f t="array" aca="1" ref="L21" ca="1">_xll.BDP(E21,"RTG_MOODY_LONG_TERM")</f>
        <v>#NAME?</v>
      </c>
      <c r="M21" t="e" cm="1">
        <f t="array" aca="1" ref="M21" ca="1">_xll.BDP(E21,"RTG_SP_LT_LC_ISSUER_CREDIT")</f>
        <v>#NAME?</v>
      </c>
      <c r="N21" t="e" cm="1">
        <f t="array" aca="1" ref="N21" ca="1">_xll.BDP(E21,"RTG_FITCH_LT_ISSUER_DEFAULT")</f>
        <v>#NAME?</v>
      </c>
      <c r="O21" t="e" cm="1">
        <f t="array" aca="1" ref="O21" ca="1">_xll.BDP(E21,"BEST_ANALYST_RATING")</f>
        <v>#NAME?</v>
      </c>
      <c r="P21" t="e" cm="1">
        <f t="array" aca="1" ref="P21" ca="1">_xll.BDP(E21,"BB_ISSR_COMP_BSE_ON_RTGS")</f>
        <v>#NAME?</v>
      </c>
    </row>
    <row r="22" spans="1:16" x14ac:dyDescent="0.35">
      <c r="A22" t="s">
        <v>176</v>
      </c>
      <c r="B22" t="s">
        <v>11</v>
      </c>
      <c r="C22" t="s">
        <v>81</v>
      </c>
      <c r="D22" t="s">
        <v>82</v>
      </c>
      <c r="E22" t="s">
        <v>83</v>
      </c>
      <c r="F22" t="s">
        <v>30</v>
      </c>
      <c r="G22">
        <v>107333787.78</v>
      </c>
      <c r="H22">
        <v>6.5162126039931111E-3</v>
      </c>
      <c r="I22">
        <v>2.6703340263970331E-2</v>
      </c>
      <c r="J22">
        <v>1.335167013198516E-2</v>
      </c>
      <c r="K22" t="e" cm="1">
        <f t="array" aca="1" ref="K22" ca="1">_xll.BDP(E22,"BB_1YR_DEFAULT_PROB")</f>
        <v>#NAME?</v>
      </c>
      <c r="L22" t="e" cm="1">
        <f t="array" aca="1" ref="L22" ca="1">_xll.BDP(E22,"RTG_MOODY_LONG_TERM")</f>
        <v>#NAME?</v>
      </c>
      <c r="M22" t="e" cm="1">
        <f t="array" aca="1" ref="M22" ca="1">_xll.BDP(E22,"RTG_SP_LT_LC_ISSUER_CREDIT")</f>
        <v>#NAME?</v>
      </c>
      <c r="N22" t="e" cm="1">
        <f t="array" aca="1" ref="N22" ca="1">_xll.BDP(E22,"RTG_FITCH_LT_ISSUER_DEFAULT")</f>
        <v>#NAME?</v>
      </c>
      <c r="O22" t="e" cm="1">
        <f t="array" aca="1" ref="O22" ca="1">_xll.BDP(E22,"BEST_ANALYST_RATING")</f>
        <v>#NAME?</v>
      </c>
      <c r="P22" t="e" cm="1">
        <f t="array" aca="1" ref="P22" ca="1">_xll.BDP(E22,"BB_ISSR_COMP_BSE_ON_RTGS")</f>
        <v>#NAME?</v>
      </c>
    </row>
    <row r="23" spans="1:16" x14ac:dyDescent="0.35">
      <c r="A23" t="s">
        <v>176</v>
      </c>
      <c r="B23" t="s">
        <v>11</v>
      </c>
      <c r="C23" t="s">
        <v>84</v>
      </c>
      <c r="D23" t="s">
        <v>85</v>
      </c>
      <c r="E23" t="s">
        <v>86</v>
      </c>
      <c r="F23" t="s">
        <v>38</v>
      </c>
      <c r="G23">
        <v>103435800.63</v>
      </c>
      <c r="H23">
        <v>6.2795665904461437E-3</v>
      </c>
      <c r="I23">
        <v>2.5733568495322941E-2</v>
      </c>
      <c r="J23">
        <v>1.286678424766147E-2</v>
      </c>
      <c r="K23" t="e" cm="1">
        <f t="array" aca="1" ref="K23" ca="1">_xll.BDP(E23,"BB_1YR_DEFAULT_PROB")</f>
        <v>#NAME?</v>
      </c>
      <c r="L23" t="e" cm="1">
        <f t="array" aca="1" ref="L23" ca="1">_xll.BDP(E23,"RTG_MOODY_LONG_TERM")</f>
        <v>#NAME?</v>
      </c>
      <c r="M23" t="e" cm="1">
        <f t="array" aca="1" ref="M23" ca="1">_xll.BDP(E23,"RTG_SP_LT_LC_ISSUER_CREDIT")</f>
        <v>#NAME?</v>
      </c>
      <c r="N23" t="e" cm="1">
        <f t="array" aca="1" ref="N23" ca="1">_xll.BDP(E23,"RTG_FITCH_LT_ISSUER_DEFAULT")</f>
        <v>#NAME?</v>
      </c>
      <c r="O23" t="e" cm="1">
        <f t="array" aca="1" ref="O23" ca="1">_xll.BDP(E23,"BEST_ANALYST_RATING")</f>
        <v>#NAME?</v>
      </c>
      <c r="P23" t="e" cm="1">
        <f t="array" aca="1" ref="P23" ca="1">_xll.BDP(E23,"BB_ISSR_COMP_BSE_ON_RTGS")</f>
        <v>#NAME?</v>
      </c>
    </row>
    <row r="24" spans="1:16" x14ac:dyDescent="0.35">
      <c r="A24" t="s">
        <v>176</v>
      </c>
      <c r="B24" t="s">
        <v>11</v>
      </c>
      <c r="C24" t="s">
        <v>96</v>
      </c>
      <c r="D24" t="s">
        <v>97</v>
      </c>
      <c r="E24" t="s">
        <v>98</v>
      </c>
      <c r="F24" t="s">
        <v>23</v>
      </c>
      <c r="G24">
        <v>99813361.519999996</v>
      </c>
      <c r="H24">
        <v>6.0596490428220769E-3</v>
      </c>
      <c r="I24">
        <v>2.4832349725906991E-2</v>
      </c>
      <c r="J24">
        <v>1.2416174862953501E-2</v>
      </c>
      <c r="K24" t="e" cm="1">
        <f t="array" aca="1" ref="K24" ca="1">_xll.BDP(E24,"BB_1YR_DEFAULT_PROB")</f>
        <v>#NAME?</v>
      </c>
      <c r="L24" t="e" cm="1">
        <f t="array" aca="1" ref="L24" ca="1">_xll.BDP(E24,"RTG_MOODY_LONG_TERM")</f>
        <v>#NAME?</v>
      </c>
      <c r="M24" t="e" cm="1">
        <f t="array" aca="1" ref="M24" ca="1">_xll.BDP(E24,"RTG_SP_LT_LC_ISSUER_CREDIT")</f>
        <v>#NAME?</v>
      </c>
      <c r="N24" t="e" cm="1">
        <f t="array" aca="1" ref="N24" ca="1">_xll.BDP(E24,"RTG_FITCH_LT_ISSUER_DEFAULT")</f>
        <v>#NAME?</v>
      </c>
      <c r="O24" t="e" cm="1">
        <f t="array" aca="1" ref="O24" ca="1">_xll.BDP(E24,"BEST_ANALYST_RATING")</f>
        <v>#NAME?</v>
      </c>
      <c r="P24" t="e" cm="1">
        <f t="array" aca="1" ref="P24" ca="1">_xll.BDP(E24,"BB_ISSR_COMP_BSE_ON_RTGS")</f>
        <v>#NAME?</v>
      </c>
    </row>
    <row r="25" spans="1:16" x14ac:dyDescent="0.35">
      <c r="A25" t="s">
        <v>176</v>
      </c>
      <c r="B25" t="s">
        <v>11</v>
      </c>
      <c r="C25" t="s">
        <v>114</v>
      </c>
      <c r="D25" t="s">
        <v>115</v>
      </c>
      <c r="E25" t="s">
        <v>116</v>
      </c>
      <c r="F25" t="s">
        <v>61</v>
      </c>
      <c r="G25">
        <v>78490527.070000008</v>
      </c>
      <c r="H25">
        <v>4.7651440647555289E-3</v>
      </c>
      <c r="I25">
        <v>1.9527487990497749E-2</v>
      </c>
      <c r="J25">
        <v>9.7637439952488747E-3</v>
      </c>
      <c r="K25" t="e" cm="1">
        <f t="array" aca="1" ref="K25" ca="1">_xll.BDP(E25,"BB_1YR_DEFAULT_PROB")</f>
        <v>#NAME?</v>
      </c>
      <c r="L25" t="e" cm="1">
        <f t="array" aca="1" ref="L25" ca="1">_xll.BDP(E25,"RTG_MOODY_LONG_TERM")</f>
        <v>#NAME?</v>
      </c>
      <c r="M25" t="e" cm="1">
        <f t="array" aca="1" ref="M25" ca="1">_xll.BDP(E25,"RTG_SP_LT_LC_ISSUER_CREDIT")</f>
        <v>#NAME?</v>
      </c>
      <c r="N25" t="e" cm="1">
        <f t="array" aca="1" ref="N25" ca="1">_xll.BDP(E25,"RTG_FITCH_LT_ISSUER_DEFAULT")</f>
        <v>#NAME?</v>
      </c>
      <c r="O25" t="e" cm="1">
        <f t="array" aca="1" ref="O25" ca="1">_xll.BDP(E25,"BEST_ANALYST_RATING")</f>
        <v>#NAME?</v>
      </c>
      <c r="P25" t="e" cm="1">
        <f t="array" aca="1" ref="P25" ca="1">_xll.BDP(E25,"BB_ISSR_COMP_BSE_ON_RTGS")</f>
        <v>#NAME?</v>
      </c>
    </row>
    <row r="26" spans="1:16" x14ac:dyDescent="0.35">
      <c r="A26" t="s">
        <v>176</v>
      </c>
      <c r="B26" t="s">
        <v>11</v>
      </c>
      <c r="C26" t="s">
        <v>121</v>
      </c>
      <c r="D26" t="s">
        <v>122</v>
      </c>
      <c r="E26" t="s">
        <v>123</v>
      </c>
      <c r="F26" t="s">
        <v>124</v>
      </c>
      <c r="G26">
        <v>69266602.489999995</v>
      </c>
      <c r="H26">
        <v>4.2051614642190224E-3</v>
      </c>
      <c r="I26">
        <v>1.723268780014393E-2</v>
      </c>
      <c r="J26">
        <v>8.6163439000719669E-3</v>
      </c>
      <c r="K26" t="e" cm="1">
        <f t="array" aca="1" ref="K26" ca="1">_xll.BDP(E26,"BB_1YR_DEFAULT_PROB")</f>
        <v>#NAME?</v>
      </c>
      <c r="L26" t="e" cm="1">
        <f t="array" aca="1" ref="L26" ca="1">_xll.BDP(E26,"RTG_MOODY_LONG_TERM")</f>
        <v>#NAME?</v>
      </c>
      <c r="M26" t="e" cm="1">
        <f t="array" aca="1" ref="M26" ca="1">_xll.BDP(E26,"RTG_SP_LT_LC_ISSUER_CREDIT")</f>
        <v>#NAME?</v>
      </c>
      <c r="N26" t="e" cm="1">
        <f t="array" aca="1" ref="N26" ca="1">_xll.BDP(E26,"RTG_FITCH_LT_ISSUER_DEFAULT")</f>
        <v>#NAME?</v>
      </c>
      <c r="O26" t="e" cm="1">
        <f t="array" aca="1" ref="O26" ca="1">_xll.BDP(E26,"BEST_ANALYST_RATING")</f>
        <v>#NAME?</v>
      </c>
      <c r="P26" t="e" cm="1">
        <f t="array" aca="1" ref="P26" ca="1">_xll.BDP(E26,"BB_ISSR_COMP_BSE_ON_RTGS")</f>
        <v>#NAME?</v>
      </c>
    </row>
    <row r="27" spans="1:16" x14ac:dyDescent="0.35">
      <c r="A27" t="s">
        <v>176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  <c r="G27">
        <v>905800559.92999995</v>
      </c>
      <c r="H27">
        <v>2.9947624821845539E-2</v>
      </c>
      <c r="I27">
        <v>7.6310658937305875E-2</v>
      </c>
      <c r="J27">
        <v>3.8155329468652938E-2</v>
      </c>
      <c r="K27" t="e" cm="1">
        <f t="array" aca="1" ref="K27" ca="1">_xll.BDP(E27,"BB_1YR_DEFAULT_PROB")</f>
        <v>#NAME?</v>
      </c>
      <c r="L27" t="e" cm="1">
        <f t="array" aca="1" ref="L27" ca="1">_xll.BDP(E27,"RTG_MOODY_LONG_TERM")</f>
        <v>#NAME?</v>
      </c>
      <c r="M27" t="e" cm="1">
        <f t="array" aca="1" ref="M27" ca="1">_xll.BDP(E27,"RTG_SP_LT_LC_ISSUER_CREDIT")</f>
        <v>#NAME?</v>
      </c>
      <c r="N27" t="e" cm="1">
        <f t="array" aca="1" ref="N27" ca="1">_xll.BDP(E27,"RTG_FITCH_LT_ISSUER_DEFAULT")</f>
        <v>#NAME?</v>
      </c>
      <c r="O27" t="e" cm="1">
        <f t="array" aca="1" ref="O27" ca="1">_xll.BDP(E27,"BEST_ANALYST_RATING")</f>
        <v>#NAME?</v>
      </c>
      <c r="P27" t="e" cm="1">
        <f t="array" aca="1" ref="P27" ca="1">_xll.BDP(E27,"BB_ISSR_COMP_BSE_ON_RTGS")</f>
        <v>#NAME?</v>
      </c>
    </row>
    <row r="28" spans="1:16" x14ac:dyDescent="0.35">
      <c r="A28" t="s">
        <v>176</v>
      </c>
      <c r="B28" t="s">
        <v>128</v>
      </c>
      <c r="C28" t="s">
        <v>133</v>
      </c>
      <c r="D28" t="s">
        <v>134</v>
      </c>
      <c r="E28" t="s">
        <v>135</v>
      </c>
      <c r="F28" t="s">
        <v>132</v>
      </c>
      <c r="G28">
        <v>832865606.57000005</v>
      </c>
      <c r="H28">
        <v>2.753624563281868E-2</v>
      </c>
      <c r="I28">
        <v>7.0166133755191415E-2</v>
      </c>
      <c r="J28">
        <v>3.5083066877595707E-2</v>
      </c>
      <c r="K28" t="e" cm="1">
        <f t="array" aca="1" ref="K28" ca="1">_xll.BDP(E28,"BB_1YR_DEFAULT_PROB")</f>
        <v>#NAME?</v>
      </c>
      <c r="L28" t="e" cm="1">
        <f t="array" aca="1" ref="L28" ca="1">_xll.BDP(E28,"RTG_MOODY_LONG_TERM")</f>
        <v>#NAME?</v>
      </c>
      <c r="M28" t="e" cm="1">
        <f t="array" aca="1" ref="M28" ca="1">_xll.BDP(E28,"RTG_SP_LT_LC_ISSUER_CREDIT")</f>
        <v>#NAME?</v>
      </c>
      <c r="N28" t="e" cm="1">
        <f t="array" aca="1" ref="N28" ca="1">_xll.BDP(E28,"RTG_FITCH_LT_ISSUER_DEFAULT")</f>
        <v>#NAME?</v>
      </c>
      <c r="O28" t="e" cm="1">
        <f t="array" aca="1" ref="O28" ca="1">_xll.BDP(E28,"BEST_ANALYST_RATING")</f>
        <v>#NAME?</v>
      </c>
      <c r="P28" t="e" cm="1">
        <f t="array" aca="1" ref="P28" ca="1">_xll.BDP(E28,"BB_ISSR_COMP_BSE_ON_RTGS")</f>
        <v>#NAME?</v>
      </c>
    </row>
    <row r="29" spans="1:16" x14ac:dyDescent="0.35">
      <c r="A29" t="s">
        <v>176</v>
      </c>
      <c r="B29" t="s">
        <v>128</v>
      </c>
      <c r="C29" t="s">
        <v>136</v>
      </c>
      <c r="D29" t="s">
        <v>137</v>
      </c>
      <c r="E29" t="s">
        <v>138</v>
      </c>
      <c r="F29" t="s">
        <v>132</v>
      </c>
      <c r="G29">
        <v>809126442.03999996</v>
      </c>
      <c r="H29">
        <v>2.6751380150969731E-2</v>
      </c>
      <c r="I29">
        <v>6.8166188769459207E-2</v>
      </c>
      <c r="J29">
        <v>3.4083094384729597E-2</v>
      </c>
      <c r="K29" t="e" cm="1">
        <f t="array" aca="1" ref="K29" ca="1">_xll.BDP(E29,"BB_1YR_DEFAULT_PROB")</f>
        <v>#NAME?</v>
      </c>
      <c r="L29" t="e" cm="1">
        <f t="array" aca="1" ref="L29" ca="1">_xll.BDP(E29,"RTG_MOODY_LONG_TERM")</f>
        <v>#NAME?</v>
      </c>
      <c r="M29" t="e" cm="1">
        <f t="array" aca="1" ref="M29" ca="1">_xll.BDP(E29,"RTG_SP_LT_LC_ISSUER_CREDIT")</f>
        <v>#NAME?</v>
      </c>
      <c r="N29" t="e" cm="1">
        <f t="array" aca="1" ref="N29" ca="1">_xll.BDP(E29,"RTG_FITCH_LT_ISSUER_DEFAULT")</f>
        <v>#NAME?</v>
      </c>
      <c r="O29" t="e" cm="1">
        <f t="array" aca="1" ref="O29" ca="1">_xll.BDP(E29,"BEST_ANALYST_RATING")</f>
        <v>#NAME?</v>
      </c>
      <c r="P29" t="e" cm="1">
        <f t="array" aca="1" ref="P29" ca="1">_xll.BDP(E29,"BB_ISSR_COMP_BSE_ON_RTGS")</f>
        <v>#NAME?</v>
      </c>
    </row>
    <row r="30" spans="1:16" x14ac:dyDescent="0.35">
      <c r="A30" t="s">
        <v>176</v>
      </c>
      <c r="B30" t="s">
        <v>128</v>
      </c>
      <c r="C30" t="s">
        <v>177</v>
      </c>
      <c r="D30" t="s">
        <v>178</v>
      </c>
      <c r="E30" t="s">
        <v>179</v>
      </c>
      <c r="F30" t="s">
        <v>132</v>
      </c>
      <c r="G30">
        <v>754039548.25</v>
      </c>
      <c r="H30">
        <v>2.4930094427817531E-2</v>
      </c>
      <c r="I30">
        <v>6.3525302740144826E-2</v>
      </c>
      <c r="J30">
        <v>3.1762651370072413E-2</v>
      </c>
      <c r="K30" t="e" cm="1">
        <f t="array" aca="1" ref="K30" ca="1">_xll.BDP(E30,"BB_1YR_DEFAULT_PROB")</f>
        <v>#NAME?</v>
      </c>
      <c r="L30" t="e" cm="1">
        <f t="array" aca="1" ref="L30" ca="1">_xll.BDP(E30,"RTG_MOODY_LONG_TERM")</f>
        <v>#NAME?</v>
      </c>
      <c r="M30" t="e" cm="1">
        <f t="array" aca="1" ref="M30" ca="1">_xll.BDP(E30,"RTG_SP_LT_LC_ISSUER_CREDIT")</f>
        <v>#NAME?</v>
      </c>
      <c r="N30" t="e" cm="1">
        <f t="array" aca="1" ref="N30" ca="1">_xll.BDP(E30,"RTG_FITCH_LT_ISSUER_DEFAULT")</f>
        <v>#NAME?</v>
      </c>
      <c r="O30" t="e" cm="1">
        <f t="array" aca="1" ref="O30" ca="1">_xll.BDP(E30,"BEST_ANALYST_RATING")</f>
        <v>#NAME?</v>
      </c>
      <c r="P30" t="e" cm="1">
        <f t="array" aca="1" ref="P30" ca="1">_xll.BDP(E30,"BB_ISSR_COMP_BSE_ON_RTGS")</f>
        <v>#NAME?</v>
      </c>
    </row>
    <row r="31" spans="1:16" x14ac:dyDescent="0.35">
      <c r="A31" t="s">
        <v>176</v>
      </c>
      <c r="B31" t="s">
        <v>128</v>
      </c>
      <c r="C31" t="s">
        <v>139</v>
      </c>
      <c r="D31" t="s">
        <v>140</v>
      </c>
      <c r="E31" t="s">
        <v>141</v>
      </c>
      <c r="F31" t="s">
        <v>61</v>
      </c>
      <c r="G31">
        <v>713464004.85000002</v>
      </c>
      <c r="H31">
        <v>2.3588583719566691E-2</v>
      </c>
      <c r="I31">
        <v>6.0106949307207523E-2</v>
      </c>
      <c r="J31">
        <v>3.0053474653603762E-2</v>
      </c>
      <c r="K31" t="e" cm="1">
        <f t="array" aca="1" ref="K31" ca="1">_xll.BDP(E31,"BB_1YR_DEFAULT_PROB")</f>
        <v>#NAME?</v>
      </c>
      <c r="L31" t="e" cm="1">
        <f t="array" aca="1" ref="L31" ca="1">_xll.BDP(E31,"RTG_MOODY_LONG_TERM")</f>
        <v>#NAME?</v>
      </c>
      <c r="M31" t="e" cm="1">
        <f t="array" aca="1" ref="M31" ca="1">_xll.BDP(E31,"RTG_SP_LT_LC_ISSUER_CREDIT")</f>
        <v>#NAME?</v>
      </c>
      <c r="N31" t="e" cm="1">
        <f t="array" aca="1" ref="N31" ca="1">_xll.BDP(E31,"RTG_FITCH_LT_ISSUER_DEFAULT")</f>
        <v>#NAME?</v>
      </c>
      <c r="O31" t="e" cm="1">
        <f t="array" aca="1" ref="O31" ca="1">_xll.BDP(E31,"BEST_ANALYST_RATING")</f>
        <v>#NAME?</v>
      </c>
      <c r="P31" t="e" cm="1">
        <f t="array" aca="1" ref="P31" ca="1">_xll.BDP(E31,"BB_ISSR_COMP_BSE_ON_RTGS")</f>
        <v>#NAME?</v>
      </c>
    </row>
    <row r="32" spans="1:16" x14ac:dyDescent="0.35">
      <c r="A32" t="s">
        <v>176</v>
      </c>
      <c r="B32" t="s">
        <v>128</v>
      </c>
      <c r="C32" t="s">
        <v>180</v>
      </c>
      <c r="D32" t="s">
        <v>181</v>
      </c>
      <c r="E32" t="s">
        <v>182</v>
      </c>
      <c r="F32" t="s">
        <v>132</v>
      </c>
      <c r="G32">
        <v>591434812.02999997</v>
      </c>
      <c r="H32">
        <v>1.955404825386944E-2</v>
      </c>
      <c r="I32">
        <v>4.982639912251631E-2</v>
      </c>
      <c r="J32">
        <v>2.4913199561258152E-2</v>
      </c>
      <c r="K32" t="e" cm="1">
        <f t="array" aca="1" ref="K32" ca="1">_xll.BDP(E32,"BB_1YR_DEFAULT_PROB")</f>
        <v>#NAME?</v>
      </c>
      <c r="L32" t="e" cm="1">
        <f t="array" aca="1" ref="L32" ca="1">_xll.BDP(E32,"RTG_MOODY_LONG_TERM")</f>
        <v>#NAME?</v>
      </c>
      <c r="M32" t="e" cm="1">
        <f t="array" aca="1" ref="M32" ca="1">_xll.BDP(E32,"RTG_SP_LT_LC_ISSUER_CREDIT")</f>
        <v>#NAME?</v>
      </c>
      <c r="N32" t="e" cm="1">
        <f t="array" aca="1" ref="N32" ca="1">_xll.BDP(E32,"RTG_FITCH_LT_ISSUER_DEFAULT")</f>
        <v>#NAME?</v>
      </c>
      <c r="O32" t="e" cm="1">
        <f t="array" aca="1" ref="O32" ca="1">_xll.BDP(E32,"BEST_ANALYST_RATING")</f>
        <v>#NAME?</v>
      </c>
      <c r="P32" t="e" cm="1">
        <f t="array" aca="1" ref="P32" ca="1">_xll.BDP(E32,"BB_ISSR_COMP_BSE_ON_RTGS")</f>
        <v>#NAME?</v>
      </c>
    </row>
    <row r="33" spans="1:16" x14ac:dyDescent="0.35">
      <c r="A33" t="s">
        <v>176</v>
      </c>
      <c r="B33" t="s">
        <v>128</v>
      </c>
      <c r="C33" t="s">
        <v>142</v>
      </c>
      <c r="D33" t="s">
        <v>143</v>
      </c>
      <c r="E33" t="s">
        <v>144</v>
      </c>
      <c r="F33" t="s">
        <v>30</v>
      </c>
      <c r="G33">
        <v>556682073.77999997</v>
      </c>
      <c r="H33">
        <v>1.8405051429752631E-2</v>
      </c>
      <c r="I33">
        <v>4.6898597492609877E-2</v>
      </c>
      <c r="J33">
        <v>2.3449298746304938E-2</v>
      </c>
      <c r="K33" t="e" cm="1">
        <f t="array" aca="1" ref="K33" ca="1">_xll.BDP(E33,"BB_1YR_DEFAULT_PROB")</f>
        <v>#NAME?</v>
      </c>
      <c r="L33" t="e" cm="1">
        <f t="array" aca="1" ref="L33" ca="1">_xll.BDP(E33,"RTG_MOODY_LONG_TERM")</f>
        <v>#NAME?</v>
      </c>
      <c r="M33" t="e" cm="1">
        <f t="array" aca="1" ref="M33" ca="1">_xll.BDP(E33,"RTG_SP_LT_LC_ISSUER_CREDIT")</f>
        <v>#NAME?</v>
      </c>
      <c r="N33" t="e" cm="1">
        <f t="array" aca="1" ref="N33" ca="1">_xll.BDP(E33,"RTG_FITCH_LT_ISSUER_DEFAULT")</f>
        <v>#NAME?</v>
      </c>
      <c r="O33" t="e" cm="1">
        <f t="array" aca="1" ref="O33" ca="1">_xll.BDP(E33,"BEST_ANALYST_RATING")</f>
        <v>#NAME?</v>
      </c>
      <c r="P33" t="e" cm="1">
        <f t="array" aca="1" ref="P33" ca="1">_xll.BDP(E33,"BB_ISSR_COMP_BSE_ON_RTGS")</f>
        <v>#NAME?</v>
      </c>
    </row>
    <row r="34" spans="1:16" x14ac:dyDescent="0.35">
      <c r="A34" t="s">
        <v>176</v>
      </c>
      <c r="B34" t="s">
        <v>128</v>
      </c>
      <c r="C34" t="s">
        <v>145</v>
      </c>
      <c r="D34" t="s">
        <v>146</v>
      </c>
      <c r="E34" t="s">
        <v>147</v>
      </c>
      <c r="F34" t="s">
        <v>19</v>
      </c>
      <c r="G34">
        <v>523010381.36000001</v>
      </c>
      <c r="H34">
        <v>1.7291796198613589E-2</v>
      </c>
      <c r="I34">
        <v>4.406187034783636E-2</v>
      </c>
      <c r="J34">
        <v>2.203093517391818E-2</v>
      </c>
      <c r="K34" t="e" cm="1">
        <f t="array" aca="1" ref="K34" ca="1">_xll.BDP(E34,"BB_1YR_DEFAULT_PROB")</f>
        <v>#NAME?</v>
      </c>
      <c r="L34" t="e" cm="1">
        <f t="array" aca="1" ref="L34" ca="1">_xll.BDP(E34,"RTG_MOODY_LONG_TERM")</f>
        <v>#NAME?</v>
      </c>
      <c r="M34" t="e" cm="1">
        <f t="array" aca="1" ref="M34" ca="1">_xll.BDP(E34,"RTG_SP_LT_LC_ISSUER_CREDIT")</f>
        <v>#NAME?</v>
      </c>
      <c r="N34" t="e" cm="1">
        <f t="array" aca="1" ref="N34" ca="1">_xll.BDP(E34,"RTG_FITCH_LT_ISSUER_DEFAULT")</f>
        <v>#NAME?</v>
      </c>
      <c r="O34" t="e" cm="1">
        <f t="array" aca="1" ref="O34" ca="1">_xll.BDP(E34,"BEST_ANALYST_RATING")</f>
        <v>#NAME?</v>
      </c>
      <c r="P34" t="e" cm="1">
        <f t="array" aca="1" ref="P34" ca="1">_xll.BDP(E34,"BB_ISSR_COMP_BSE_ON_RTGS")</f>
        <v>#NAME?</v>
      </c>
    </row>
    <row r="35" spans="1:16" x14ac:dyDescent="0.35">
      <c r="A35" t="s">
        <v>176</v>
      </c>
      <c r="B35" t="s">
        <v>128</v>
      </c>
      <c r="C35" t="s">
        <v>183</v>
      </c>
      <c r="D35" t="s">
        <v>184</v>
      </c>
      <c r="E35" t="s">
        <v>185</v>
      </c>
      <c r="F35" t="s">
        <v>132</v>
      </c>
      <c r="G35">
        <v>513060947.72000003</v>
      </c>
      <c r="H35">
        <v>1.696284751054522E-2</v>
      </c>
      <c r="I35">
        <v>4.3223663936062813E-2</v>
      </c>
      <c r="J35">
        <v>2.161183196803141E-2</v>
      </c>
      <c r="K35" t="e" cm="1">
        <f t="array" aca="1" ref="K35" ca="1">_xll.BDP(E35,"BB_1YR_DEFAULT_PROB")</f>
        <v>#NAME?</v>
      </c>
      <c r="L35" t="e" cm="1">
        <f t="array" aca="1" ref="L35" ca="1">_xll.BDP(E35,"RTG_MOODY_LONG_TERM")</f>
        <v>#NAME?</v>
      </c>
      <c r="M35" t="e" cm="1">
        <f t="array" aca="1" ref="M35" ca="1">_xll.BDP(E35,"RTG_SP_LT_LC_ISSUER_CREDIT")</f>
        <v>#NAME?</v>
      </c>
      <c r="N35" t="e" cm="1">
        <f t="array" aca="1" ref="N35" ca="1">_xll.BDP(E35,"RTG_FITCH_LT_ISSUER_DEFAULT")</f>
        <v>#NAME?</v>
      </c>
      <c r="O35" t="e" cm="1">
        <f t="array" aca="1" ref="O35" ca="1">_xll.BDP(E35,"BEST_ANALYST_RATING")</f>
        <v>#NAME?</v>
      </c>
      <c r="P35" t="e" cm="1">
        <f t="array" aca="1" ref="P35" ca="1">_xll.BDP(E35,"BB_ISSR_COMP_BSE_ON_RTGS")</f>
        <v>#NAME?</v>
      </c>
    </row>
    <row r="36" spans="1:16" x14ac:dyDescent="0.35">
      <c r="A36" t="s">
        <v>176</v>
      </c>
      <c r="B36" t="s">
        <v>128</v>
      </c>
      <c r="C36" t="s">
        <v>148</v>
      </c>
      <c r="D36" t="s">
        <v>149</v>
      </c>
      <c r="E36" t="s">
        <v>150</v>
      </c>
      <c r="F36" t="s">
        <v>19</v>
      </c>
      <c r="G36">
        <v>507049236.01999998</v>
      </c>
      <c r="H36">
        <v>1.676408798831374E-2</v>
      </c>
      <c r="I36">
        <v>4.27171973898249E-2</v>
      </c>
      <c r="J36">
        <v>2.135859869491245E-2</v>
      </c>
      <c r="K36" t="e" cm="1">
        <f t="array" aca="1" ref="K36" ca="1">_xll.BDP(E36,"BB_1YR_DEFAULT_PROB")</f>
        <v>#NAME?</v>
      </c>
      <c r="L36" t="e" cm="1">
        <f t="array" aca="1" ref="L36" ca="1">_xll.BDP(E36,"RTG_MOODY_LONG_TERM")</f>
        <v>#NAME?</v>
      </c>
      <c r="M36" t="e" cm="1">
        <f t="array" aca="1" ref="M36" ca="1">_xll.BDP(E36,"RTG_SP_LT_LC_ISSUER_CREDIT")</f>
        <v>#NAME?</v>
      </c>
      <c r="N36" t="e" cm="1">
        <f t="array" aca="1" ref="N36" ca="1">_xll.BDP(E36,"RTG_FITCH_LT_ISSUER_DEFAULT")</f>
        <v>#NAME?</v>
      </c>
      <c r="O36" t="e" cm="1">
        <f t="array" aca="1" ref="O36" ca="1">_xll.BDP(E36,"BEST_ANALYST_RATING")</f>
        <v>#NAME?</v>
      </c>
      <c r="P36" t="e" cm="1">
        <f t="array" aca="1" ref="P36" ca="1">_xll.BDP(E36,"BB_ISSR_COMP_BSE_ON_RTGS")</f>
        <v>#NAME?</v>
      </c>
    </row>
    <row r="37" spans="1:16" x14ac:dyDescent="0.35">
      <c r="A37" t="s">
        <v>176</v>
      </c>
      <c r="B37" t="s">
        <v>128</v>
      </c>
      <c r="C37" t="s">
        <v>186</v>
      </c>
      <c r="D37" t="s">
        <v>187</v>
      </c>
      <c r="E37" t="s">
        <v>188</v>
      </c>
      <c r="F37" t="s">
        <v>19</v>
      </c>
      <c r="G37">
        <v>496399779.08999997</v>
      </c>
      <c r="H37">
        <v>1.6411995094133269E-2</v>
      </c>
      <c r="I37">
        <v>4.1820016363887401E-2</v>
      </c>
      <c r="J37">
        <v>2.09100081819437E-2</v>
      </c>
      <c r="K37" t="e" cm="1">
        <f t="array" aca="1" ref="K37" ca="1">_xll.BDP(E37,"BB_1YR_DEFAULT_PROB")</f>
        <v>#NAME?</v>
      </c>
      <c r="L37" t="e" cm="1">
        <f t="array" aca="1" ref="L37" ca="1">_xll.BDP(E37,"RTG_MOODY_LONG_TERM")</f>
        <v>#NAME?</v>
      </c>
      <c r="M37" t="e" cm="1">
        <f t="array" aca="1" ref="M37" ca="1">_xll.BDP(E37,"RTG_SP_LT_LC_ISSUER_CREDIT")</f>
        <v>#NAME?</v>
      </c>
      <c r="N37" t="e" cm="1">
        <f t="array" aca="1" ref="N37" ca="1">_xll.BDP(E37,"RTG_FITCH_LT_ISSUER_DEFAULT")</f>
        <v>#NAME?</v>
      </c>
      <c r="O37" t="e" cm="1">
        <f t="array" aca="1" ref="O37" ca="1">_xll.BDP(E37,"BEST_ANALYST_RATING")</f>
        <v>#NAME?</v>
      </c>
      <c r="P37" t="e" cm="1">
        <f t="array" aca="1" ref="P37" ca="1">_xll.BDP(E37,"BB_ISSR_COMP_BSE_ON_RTGS")</f>
        <v>#NAME?</v>
      </c>
    </row>
    <row r="38" spans="1:16" x14ac:dyDescent="0.35">
      <c r="A38" t="s">
        <v>176</v>
      </c>
      <c r="B38" t="s">
        <v>128</v>
      </c>
      <c r="C38" t="s">
        <v>151</v>
      </c>
      <c r="D38" t="s">
        <v>152</v>
      </c>
      <c r="E38" t="s">
        <v>153</v>
      </c>
      <c r="F38" t="s">
        <v>154</v>
      </c>
      <c r="G38">
        <v>425102643.92000002</v>
      </c>
      <c r="H38">
        <v>1.405476553456159E-2</v>
      </c>
      <c r="I38">
        <v>3.581347187070965E-2</v>
      </c>
      <c r="J38">
        <v>1.7906735935354821E-2</v>
      </c>
      <c r="K38" t="e" cm="1">
        <f t="array" aca="1" ref="K38" ca="1">_xll.BDP(E38,"BB_1YR_DEFAULT_PROB")</f>
        <v>#NAME?</v>
      </c>
      <c r="L38" t="e" cm="1">
        <f t="array" aca="1" ref="L38" ca="1">_xll.BDP(E38,"RTG_MOODY_LONG_TERM")</f>
        <v>#NAME?</v>
      </c>
      <c r="M38" t="e" cm="1">
        <f t="array" aca="1" ref="M38" ca="1">_xll.BDP(E38,"RTG_SP_LT_LC_ISSUER_CREDIT")</f>
        <v>#NAME?</v>
      </c>
      <c r="N38" t="e" cm="1">
        <f t="array" aca="1" ref="N38" ca="1">_xll.BDP(E38,"RTG_FITCH_LT_ISSUER_DEFAULT")</f>
        <v>#NAME?</v>
      </c>
      <c r="O38" t="e" cm="1">
        <f t="array" aca="1" ref="O38" ca="1">_xll.BDP(E38,"BEST_ANALYST_RATING")</f>
        <v>#NAME?</v>
      </c>
      <c r="P38" t="e" cm="1">
        <f t="array" aca="1" ref="P38" ca="1">_xll.BDP(E38,"BB_ISSR_COMP_BSE_ON_RTGS")</f>
        <v>#NAME?</v>
      </c>
    </row>
    <row r="39" spans="1:16" x14ac:dyDescent="0.35">
      <c r="A39" t="s">
        <v>176</v>
      </c>
      <c r="B39" t="s">
        <v>128</v>
      </c>
      <c r="C39" t="s">
        <v>155</v>
      </c>
      <c r="D39" t="s">
        <v>156</v>
      </c>
      <c r="E39" t="s">
        <v>157</v>
      </c>
      <c r="F39" t="s">
        <v>61</v>
      </c>
      <c r="G39">
        <v>416844685.43000001</v>
      </c>
      <c r="H39">
        <v>1.3781740485126859E-2</v>
      </c>
      <c r="I39">
        <v>3.5117766566776613E-2</v>
      </c>
      <c r="J39">
        <v>1.75588832833883E-2</v>
      </c>
      <c r="K39" t="e" cm="1">
        <f t="array" aca="1" ref="K39" ca="1">_xll.BDP(E39,"BB_1YR_DEFAULT_PROB")</f>
        <v>#NAME?</v>
      </c>
      <c r="L39" t="e" cm="1">
        <f t="array" aca="1" ref="L39" ca="1">_xll.BDP(E39,"RTG_MOODY_LONG_TERM")</f>
        <v>#NAME?</v>
      </c>
      <c r="M39" t="e" cm="1">
        <f t="array" aca="1" ref="M39" ca="1">_xll.BDP(E39,"RTG_SP_LT_LC_ISSUER_CREDIT")</f>
        <v>#NAME?</v>
      </c>
      <c r="N39" t="e" cm="1">
        <f t="array" aca="1" ref="N39" ca="1">_xll.BDP(E39,"RTG_FITCH_LT_ISSUER_DEFAULT")</f>
        <v>#NAME?</v>
      </c>
      <c r="O39" t="e" cm="1">
        <f t="array" aca="1" ref="O39" ca="1">_xll.BDP(E39,"BEST_ANALYST_RATING")</f>
        <v>#NAME?</v>
      </c>
      <c r="P39" t="e" cm="1">
        <f t="array" aca="1" ref="P39" ca="1">_xll.BDP(E39,"BB_ISSR_COMP_BSE_ON_RTGS")</f>
        <v>#NAME?</v>
      </c>
    </row>
    <row r="40" spans="1:16" x14ac:dyDescent="0.35">
      <c r="A40" t="s">
        <v>176</v>
      </c>
      <c r="B40" t="s">
        <v>128</v>
      </c>
      <c r="C40" t="s">
        <v>189</v>
      </c>
      <c r="D40" t="s">
        <v>190</v>
      </c>
      <c r="E40" t="s">
        <v>191</v>
      </c>
      <c r="F40" t="s">
        <v>19</v>
      </c>
      <c r="G40">
        <v>404146862.76999998</v>
      </c>
      <c r="H40">
        <v>1.336192441755301E-2</v>
      </c>
      <c r="I40">
        <v>3.4048017598716201E-2</v>
      </c>
      <c r="J40">
        <v>1.7024008799358101E-2</v>
      </c>
      <c r="K40" t="e" cm="1">
        <f t="array" aca="1" ref="K40" ca="1">_xll.BDP(E40,"BB_1YR_DEFAULT_PROB")</f>
        <v>#NAME?</v>
      </c>
      <c r="L40" t="e" cm="1">
        <f t="array" aca="1" ref="L40" ca="1">_xll.BDP(E40,"RTG_MOODY_LONG_TERM")</f>
        <v>#NAME?</v>
      </c>
      <c r="M40" t="e" cm="1">
        <f t="array" aca="1" ref="M40" ca="1">_xll.BDP(E40,"RTG_SP_LT_LC_ISSUER_CREDIT")</f>
        <v>#NAME?</v>
      </c>
      <c r="N40" t="e" cm="1">
        <f t="array" aca="1" ref="N40" ca="1">_xll.BDP(E40,"RTG_FITCH_LT_ISSUER_DEFAULT")</f>
        <v>#NAME?</v>
      </c>
      <c r="O40" t="e" cm="1">
        <f t="array" aca="1" ref="O40" ca="1">_xll.BDP(E40,"BEST_ANALYST_RATING")</f>
        <v>#NAME?</v>
      </c>
      <c r="P40" t="e" cm="1">
        <f t="array" aca="1" ref="P40" ca="1">_xll.BDP(E40,"BB_ISSR_COMP_BSE_ON_RTGS")</f>
        <v>#NAME?</v>
      </c>
    </row>
    <row r="41" spans="1:16" x14ac:dyDescent="0.35">
      <c r="A41" t="s">
        <v>176</v>
      </c>
      <c r="B41" t="s">
        <v>128</v>
      </c>
      <c r="C41" t="s">
        <v>192</v>
      </c>
      <c r="D41" t="s">
        <v>193</v>
      </c>
      <c r="E41" t="s">
        <v>194</v>
      </c>
      <c r="F41" t="s">
        <v>132</v>
      </c>
      <c r="G41">
        <v>391065829.50999999</v>
      </c>
      <c r="H41">
        <v>1.2929438621360921E-2</v>
      </c>
      <c r="I41">
        <v>3.2945984422971031E-2</v>
      </c>
      <c r="J41">
        <v>1.6472992211485519E-2</v>
      </c>
      <c r="K41" t="e" cm="1">
        <f t="array" aca="1" ref="K41" ca="1">_xll.BDP(E41,"BB_1YR_DEFAULT_PROB")</f>
        <v>#NAME?</v>
      </c>
      <c r="L41" t="e" cm="1">
        <f t="array" aca="1" ref="L41" ca="1">_xll.BDP(E41,"RTG_MOODY_LONG_TERM")</f>
        <v>#NAME?</v>
      </c>
      <c r="M41" t="e" cm="1">
        <f t="array" aca="1" ref="M41" ca="1">_xll.BDP(E41,"RTG_SP_LT_LC_ISSUER_CREDIT")</f>
        <v>#NAME?</v>
      </c>
      <c r="N41" t="e" cm="1">
        <f t="array" aca="1" ref="N41" ca="1">_xll.BDP(E41,"RTG_FITCH_LT_ISSUER_DEFAULT")</f>
        <v>#NAME?</v>
      </c>
      <c r="O41" t="e" cm="1">
        <f t="array" aca="1" ref="O41" ca="1">_xll.BDP(E41,"BEST_ANALYST_RATING")</f>
        <v>#NAME?</v>
      </c>
      <c r="P41" t="e" cm="1">
        <f t="array" aca="1" ref="P41" ca="1">_xll.BDP(E41,"BB_ISSR_COMP_BSE_ON_RTGS")</f>
        <v>#NAME?</v>
      </c>
    </row>
    <row r="42" spans="1:16" x14ac:dyDescent="0.35">
      <c r="A42" t="s">
        <v>176</v>
      </c>
      <c r="B42" t="s">
        <v>128</v>
      </c>
      <c r="C42" t="s">
        <v>195</v>
      </c>
      <c r="D42" t="s">
        <v>196</v>
      </c>
      <c r="E42" t="s">
        <v>197</v>
      </c>
      <c r="F42" t="s">
        <v>19</v>
      </c>
      <c r="G42">
        <v>388093478.51999998</v>
      </c>
      <c r="H42">
        <v>1.283116659965425E-2</v>
      </c>
      <c r="I42">
        <v>3.2695573821925047E-2</v>
      </c>
      <c r="J42">
        <v>1.6347786910962531E-2</v>
      </c>
      <c r="K42" t="e" cm="1">
        <f t="array" aca="1" ref="K42" ca="1">_xll.BDP(E42,"BB_1YR_DEFAULT_PROB")</f>
        <v>#NAME?</v>
      </c>
      <c r="L42" t="e" cm="1">
        <f t="array" aca="1" ref="L42" ca="1">_xll.BDP(E42,"RTG_MOODY_LONG_TERM")</f>
        <v>#NAME?</v>
      </c>
      <c r="M42" t="e" cm="1">
        <f t="array" aca="1" ref="M42" ca="1">_xll.BDP(E42,"RTG_SP_LT_LC_ISSUER_CREDIT")</f>
        <v>#NAME?</v>
      </c>
      <c r="N42" t="e" cm="1">
        <f t="array" aca="1" ref="N42" ca="1">_xll.BDP(E42,"RTG_FITCH_LT_ISSUER_DEFAULT")</f>
        <v>#NAME?</v>
      </c>
      <c r="O42" t="e" cm="1">
        <f t="array" aca="1" ref="O42" ca="1">_xll.BDP(E42,"BEST_ANALYST_RATING")</f>
        <v>#NAME?</v>
      </c>
      <c r="P42" t="e" cm="1">
        <f t="array" aca="1" ref="P42" ca="1">_xll.BDP(E42,"BB_ISSR_COMP_BSE_ON_RTGS")</f>
        <v>#NAME?</v>
      </c>
    </row>
    <row r="43" spans="1:16" x14ac:dyDescent="0.35">
      <c r="A43" t="s">
        <v>176</v>
      </c>
      <c r="B43" t="s">
        <v>128</v>
      </c>
      <c r="C43" t="s">
        <v>158</v>
      </c>
      <c r="D43" t="s">
        <v>159</v>
      </c>
      <c r="E43" t="s">
        <v>160</v>
      </c>
      <c r="F43" t="s">
        <v>38</v>
      </c>
      <c r="G43">
        <v>362944516.57999998</v>
      </c>
      <c r="H43">
        <v>1.199969032313682E-2</v>
      </c>
      <c r="I43">
        <v>3.0576858133143699E-2</v>
      </c>
      <c r="J43">
        <v>1.528842906657185E-2</v>
      </c>
      <c r="K43" t="e" cm="1">
        <f t="array" aca="1" ref="K43" ca="1">_xll.BDP(E43,"BB_1YR_DEFAULT_PROB")</f>
        <v>#NAME?</v>
      </c>
      <c r="L43" t="e" cm="1">
        <f t="array" aca="1" ref="L43" ca="1">_xll.BDP(E43,"RTG_MOODY_LONG_TERM")</f>
        <v>#NAME?</v>
      </c>
      <c r="M43" t="e" cm="1">
        <f t="array" aca="1" ref="M43" ca="1">_xll.BDP(E43,"RTG_SP_LT_LC_ISSUER_CREDIT")</f>
        <v>#NAME?</v>
      </c>
      <c r="N43" t="e" cm="1">
        <f t="array" aca="1" ref="N43" ca="1">_xll.BDP(E43,"RTG_FITCH_LT_ISSUER_DEFAULT")</f>
        <v>#NAME?</v>
      </c>
      <c r="O43" t="e" cm="1">
        <f t="array" aca="1" ref="O43" ca="1">_xll.BDP(E43,"BEST_ANALYST_RATING")</f>
        <v>#NAME?</v>
      </c>
      <c r="P43" t="e" cm="1">
        <f t="array" aca="1" ref="P43" ca="1">_xll.BDP(E43,"BB_ISSR_COMP_BSE_ON_RTGS")</f>
        <v>#NAME?</v>
      </c>
    </row>
    <row r="44" spans="1:16" x14ac:dyDescent="0.35">
      <c r="A44" t="s">
        <v>176</v>
      </c>
      <c r="B44" t="s">
        <v>128</v>
      </c>
      <c r="C44" t="s">
        <v>198</v>
      </c>
      <c r="D44" t="s">
        <v>199</v>
      </c>
      <c r="E44" t="s">
        <v>200</v>
      </c>
      <c r="F44" t="s">
        <v>61</v>
      </c>
      <c r="G44">
        <v>334489131.64999998</v>
      </c>
      <c r="H44">
        <v>1.1058896919221619E-2</v>
      </c>
      <c r="I44">
        <v>2.8179587397860879E-2</v>
      </c>
      <c r="J44">
        <v>1.4089793698930439E-2</v>
      </c>
      <c r="K44" t="e" cm="1">
        <f t="array" aca="1" ref="K44" ca="1">_xll.BDP(E44,"BB_1YR_DEFAULT_PROB")</f>
        <v>#NAME?</v>
      </c>
      <c r="L44" t="e" cm="1">
        <f t="array" aca="1" ref="L44" ca="1">_xll.BDP(E44,"RTG_MOODY_LONG_TERM")</f>
        <v>#NAME?</v>
      </c>
      <c r="M44" t="e" cm="1">
        <f t="array" aca="1" ref="M44" ca="1">_xll.BDP(E44,"RTG_SP_LT_LC_ISSUER_CREDIT")</f>
        <v>#NAME?</v>
      </c>
      <c r="N44" t="e" cm="1">
        <f t="array" aca="1" ref="N44" ca="1">_xll.BDP(E44,"RTG_FITCH_LT_ISSUER_DEFAULT")</f>
        <v>#NAME?</v>
      </c>
      <c r="O44" t="e" cm="1">
        <f t="array" aca="1" ref="O44" ca="1">_xll.BDP(E44,"BEST_ANALYST_RATING")</f>
        <v>#NAME?</v>
      </c>
      <c r="P44" t="e" cm="1">
        <f t="array" aca="1" ref="P44" ca="1">_xll.BDP(E44,"BB_ISSR_COMP_BSE_ON_RTGS")</f>
        <v>#NAME?</v>
      </c>
    </row>
    <row r="45" spans="1:16" x14ac:dyDescent="0.35">
      <c r="A45" t="s">
        <v>176</v>
      </c>
      <c r="B45" t="s">
        <v>128</v>
      </c>
      <c r="C45" t="s">
        <v>161</v>
      </c>
      <c r="D45" t="s">
        <v>162</v>
      </c>
      <c r="E45" t="s">
        <v>163</v>
      </c>
      <c r="F45" t="s">
        <v>34</v>
      </c>
      <c r="G45">
        <v>325529724.55000001</v>
      </c>
      <c r="H45">
        <v>1.076268053967146E-2</v>
      </c>
      <c r="I45">
        <v>2.7424787401334701E-2</v>
      </c>
      <c r="J45">
        <v>1.371239370066735E-2</v>
      </c>
      <c r="K45" t="e" cm="1">
        <f t="array" aca="1" ref="K45" ca="1">_xll.BDP(E45,"BB_1YR_DEFAULT_PROB")</f>
        <v>#NAME?</v>
      </c>
      <c r="L45" t="e" cm="1">
        <f t="array" aca="1" ref="L45" ca="1">_xll.BDP(E45,"RTG_MOODY_LONG_TERM")</f>
        <v>#NAME?</v>
      </c>
      <c r="M45" t="e" cm="1">
        <f t="array" aca="1" ref="M45" ca="1">_xll.BDP(E45,"RTG_SP_LT_LC_ISSUER_CREDIT")</f>
        <v>#NAME?</v>
      </c>
      <c r="N45" t="e" cm="1">
        <f t="array" aca="1" ref="N45" ca="1">_xll.BDP(E45,"RTG_FITCH_LT_ISSUER_DEFAULT")</f>
        <v>#NAME?</v>
      </c>
      <c r="O45" t="e" cm="1">
        <f t="array" aca="1" ref="O45" ca="1">_xll.BDP(E45,"BEST_ANALYST_RATING")</f>
        <v>#NAME?</v>
      </c>
      <c r="P45" t="e" cm="1">
        <f t="array" aca="1" ref="P45" ca="1">_xll.BDP(E45,"BB_ISSR_COMP_BSE_ON_RTGS")</f>
        <v>#NAME?</v>
      </c>
    </row>
    <row r="46" spans="1:16" x14ac:dyDescent="0.35">
      <c r="A46" t="s">
        <v>176</v>
      </c>
      <c r="B46" t="s">
        <v>128</v>
      </c>
      <c r="C46" t="s">
        <v>164</v>
      </c>
      <c r="D46" t="s">
        <v>165</v>
      </c>
      <c r="E46" t="s">
        <v>166</v>
      </c>
      <c r="F46" t="s">
        <v>38</v>
      </c>
      <c r="G46">
        <v>319162528.54000002</v>
      </c>
      <c r="H46">
        <v>1.0552167976851479E-2</v>
      </c>
      <c r="I46">
        <v>2.6888372494344979E-2</v>
      </c>
      <c r="J46">
        <v>1.3444186247172489E-2</v>
      </c>
      <c r="K46" t="e" cm="1">
        <f t="array" aca="1" ref="K46" ca="1">_xll.BDP(E46,"BB_1YR_DEFAULT_PROB")</f>
        <v>#NAME?</v>
      </c>
      <c r="L46" t="e" cm="1">
        <f t="array" aca="1" ref="L46" ca="1">_xll.BDP(E46,"RTG_MOODY_LONG_TERM")</f>
        <v>#NAME?</v>
      </c>
      <c r="M46" t="e" cm="1">
        <f t="array" aca="1" ref="M46" ca="1">_xll.BDP(E46,"RTG_SP_LT_LC_ISSUER_CREDIT")</f>
        <v>#NAME?</v>
      </c>
      <c r="N46" t="e" cm="1">
        <f t="array" aca="1" ref="N46" ca="1">_xll.BDP(E46,"RTG_FITCH_LT_ISSUER_DEFAULT")</f>
        <v>#NAME?</v>
      </c>
      <c r="O46" t="e" cm="1">
        <f t="array" aca="1" ref="O46" ca="1">_xll.BDP(E46,"BEST_ANALYST_RATING")</f>
        <v>#NAME?</v>
      </c>
      <c r="P46" t="e" cm="1">
        <f t="array" aca="1" ref="P46" ca="1">_xll.BDP(E46,"BB_ISSR_COMP_BSE_ON_RTGS")</f>
        <v>#NAME?</v>
      </c>
    </row>
    <row r="47" spans="1:16" x14ac:dyDescent="0.35">
      <c r="A47" t="s">
        <v>176</v>
      </c>
      <c r="B47" t="s">
        <v>128</v>
      </c>
      <c r="C47" t="s">
        <v>167</v>
      </c>
      <c r="D47" t="s">
        <v>168</v>
      </c>
      <c r="E47" t="s">
        <v>169</v>
      </c>
      <c r="F47" t="s">
        <v>38</v>
      </c>
      <c r="G47">
        <v>309049197.52999997</v>
      </c>
      <c r="H47">
        <v>1.0217800505484469E-2</v>
      </c>
      <c r="I47">
        <v>2.6036358278893591E-2</v>
      </c>
      <c r="J47">
        <v>1.3018179139446801E-2</v>
      </c>
      <c r="K47" t="e" cm="1">
        <f t="array" aca="1" ref="K47" ca="1">_xll.BDP(E47,"BB_1YR_DEFAULT_PROB")</f>
        <v>#NAME?</v>
      </c>
      <c r="L47" t="e" cm="1">
        <f t="array" aca="1" ref="L47" ca="1">_xll.BDP(E47,"RTG_MOODY_LONG_TERM")</f>
        <v>#NAME?</v>
      </c>
      <c r="M47" t="e" cm="1">
        <f t="array" aca="1" ref="M47" ca="1">_xll.BDP(E47,"RTG_SP_LT_LC_ISSUER_CREDIT")</f>
        <v>#NAME?</v>
      </c>
      <c r="N47" t="e" cm="1">
        <f t="array" aca="1" ref="N47" ca="1">_xll.BDP(E47,"RTG_FITCH_LT_ISSUER_DEFAULT")</f>
        <v>#NAME?</v>
      </c>
      <c r="O47" t="e" cm="1">
        <f t="array" aca="1" ref="O47" ca="1">_xll.BDP(E47,"BEST_ANALYST_RATING")</f>
        <v>#NAME?</v>
      </c>
      <c r="P47" t="e" cm="1">
        <f t="array" aca="1" ref="P47" ca="1">_xll.BDP(E47,"BB_ISSR_COMP_BSE_ON_RTGS")</f>
        <v>#NAME?</v>
      </c>
    </row>
    <row r="48" spans="1:16" x14ac:dyDescent="0.35">
      <c r="A48" t="s">
        <v>176</v>
      </c>
      <c r="B48" t="s">
        <v>128</v>
      </c>
      <c r="C48" t="s">
        <v>201</v>
      </c>
      <c r="D48" t="s">
        <v>202</v>
      </c>
      <c r="E48" t="s">
        <v>203</v>
      </c>
      <c r="F48" t="s">
        <v>38</v>
      </c>
      <c r="G48">
        <v>301539418.44</v>
      </c>
      <c r="H48">
        <v>9.969511801953929E-3</v>
      </c>
      <c r="I48">
        <v>2.5403684579866741E-2</v>
      </c>
      <c r="J48">
        <v>1.270184228993337E-2</v>
      </c>
      <c r="K48" t="e" cm="1">
        <f t="array" aca="1" ref="K48" ca="1">_xll.BDP(E48,"BB_1YR_DEFAULT_PROB")</f>
        <v>#NAME?</v>
      </c>
      <c r="L48" t="e" cm="1">
        <f t="array" aca="1" ref="L48" ca="1">_xll.BDP(E48,"RTG_MOODY_LONG_TERM")</f>
        <v>#NAME?</v>
      </c>
      <c r="M48" t="e" cm="1">
        <f t="array" aca="1" ref="M48" ca="1">_xll.BDP(E48,"RTG_SP_LT_LC_ISSUER_CREDIT")</f>
        <v>#NAME?</v>
      </c>
      <c r="N48" t="e" cm="1">
        <f t="array" aca="1" ref="N48" ca="1">_xll.BDP(E48,"RTG_FITCH_LT_ISSUER_DEFAULT")</f>
        <v>#NAME?</v>
      </c>
      <c r="O48" t="e" cm="1">
        <f t="array" aca="1" ref="O48" ca="1">_xll.BDP(E48,"BEST_ANALYST_RATING")</f>
        <v>#NAME?</v>
      </c>
      <c r="P48" t="e" cm="1">
        <f t="array" aca="1" ref="P48" ca="1">_xll.BDP(E48,"BB_ISSR_COMP_BSE_ON_RTGS")</f>
        <v>#NAME?</v>
      </c>
    </row>
    <row r="49" spans="1:16" x14ac:dyDescent="0.35">
      <c r="A49" t="s">
        <v>176</v>
      </c>
      <c r="B49" t="s">
        <v>128</v>
      </c>
      <c r="C49" t="s">
        <v>170</v>
      </c>
      <c r="D49" t="s">
        <v>171</v>
      </c>
      <c r="E49" t="s">
        <v>172</v>
      </c>
      <c r="F49" t="s">
        <v>23</v>
      </c>
      <c r="G49">
        <v>240190668.31</v>
      </c>
      <c r="H49">
        <v>7.9411962615833533E-3</v>
      </c>
      <c r="I49">
        <v>2.0235258157429759E-2</v>
      </c>
      <c r="J49">
        <v>1.011762907871488E-2</v>
      </c>
      <c r="K49" t="e" cm="1">
        <f t="array" aca="1" ref="K49" ca="1">_xll.BDP(E49,"BB_1YR_DEFAULT_PROB")</f>
        <v>#NAME?</v>
      </c>
      <c r="L49" t="e" cm="1">
        <f t="array" aca="1" ref="L49" ca="1">_xll.BDP(E49,"RTG_MOODY_LONG_TERM")</f>
        <v>#NAME?</v>
      </c>
      <c r="M49" t="e" cm="1">
        <f t="array" aca="1" ref="M49" ca="1">_xll.BDP(E49,"RTG_SP_LT_LC_ISSUER_CREDIT")</f>
        <v>#NAME?</v>
      </c>
      <c r="N49" t="e" cm="1">
        <f t="array" aca="1" ref="N49" ca="1">_xll.BDP(E49,"RTG_FITCH_LT_ISSUER_DEFAULT")</f>
        <v>#NAME?</v>
      </c>
      <c r="O49" t="e" cm="1">
        <f t="array" aca="1" ref="O49" ca="1">_xll.BDP(E49,"BEST_ANALYST_RATING")</f>
        <v>#NAME?</v>
      </c>
      <c r="P49" t="e" cm="1">
        <f t="array" aca="1" ref="P49" ca="1">_xll.BDP(E49,"BB_ISSR_COMP_BSE_ON_RTGS")</f>
        <v>#NAME?</v>
      </c>
    </row>
    <row r="50" spans="1:16" x14ac:dyDescent="0.35">
      <c r="A50" t="s">
        <v>176</v>
      </c>
      <c r="B50" t="s">
        <v>128</v>
      </c>
      <c r="C50" t="s">
        <v>204</v>
      </c>
      <c r="D50" t="s">
        <v>205</v>
      </c>
      <c r="E50" t="s">
        <v>206</v>
      </c>
      <c r="F50" t="s">
        <v>30</v>
      </c>
      <c r="G50">
        <v>232306626.06999999</v>
      </c>
      <c r="H50">
        <v>7.6805336504878726E-3</v>
      </c>
      <c r="I50">
        <v>1.9571054043369101E-2</v>
      </c>
      <c r="J50">
        <v>9.7855270216845487E-3</v>
      </c>
      <c r="K50" t="e" cm="1">
        <f t="array" aca="1" ref="K50" ca="1">_xll.BDP(E50,"BB_1YR_DEFAULT_PROB")</f>
        <v>#NAME?</v>
      </c>
      <c r="L50" t="e" cm="1">
        <f t="array" aca="1" ref="L50" ca="1">_xll.BDP(E50,"RTG_MOODY_LONG_TERM")</f>
        <v>#NAME?</v>
      </c>
      <c r="M50" t="e" cm="1">
        <f t="array" aca="1" ref="M50" ca="1">_xll.BDP(E50,"RTG_SP_LT_LC_ISSUER_CREDIT")</f>
        <v>#NAME?</v>
      </c>
      <c r="N50" t="e" cm="1">
        <f t="array" aca="1" ref="N50" ca="1">_xll.BDP(E50,"RTG_FITCH_LT_ISSUER_DEFAULT")</f>
        <v>#NAME?</v>
      </c>
      <c r="O50" t="e" cm="1">
        <f t="array" aca="1" ref="O50" ca="1">_xll.BDP(E50,"BEST_ANALYST_RATING")</f>
        <v>#NAME?</v>
      </c>
      <c r="P50" t="e" cm="1">
        <f t="array" aca="1" ref="P50" ca="1">_xll.BDP(E50,"BB_ISSR_COMP_BSE_ON_RTGS")</f>
        <v>#NAME?</v>
      </c>
    </row>
    <row r="51" spans="1:16" x14ac:dyDescent="0.35">
      <c r="A51" t="s">
        <v>176</v>
      </c>
      <c r="B51" t="s">
        <v>128</v>
      </c>
      <c r="C51" t="s">
        <v>173</v>
      </c>
      <c r="D51" t="s">
        <v>174</v>
      </c>
      <c r="E51" t="s">
        <v>175</v>
      </c>
      <c r="F51" t="s">
        <v>15</v>
      </c>
      <c r="G51">
        <v>216510068.71000001</v>
      </c>
      <c r="H51">
        <v>7.1582670564700893E-3</v>
      </c>
      <c r="I51">
        <v>1.8240247070611539E-2</v>
      </c>
      <c r="J51">
        <v>9.1201235353057675E-3</v>
      </c>
      <c r="K51" t="e" cm="1">
        <f t="array" aca="1" ref="K51" ca="1">_xll.BDP(E51,"BB_1YR_DEFAULT_PROB")</f>
        <v>#NAME?</v>
      </c>
      <c r="L51" t="e" cm="1">
        <f t="array" aca="1" ref="L51" ca="1">_xll.BDP(E51,"RTG_MOODY_LONG_TERM")</f>
        <v>#NAME?</v>
      </c>
      <c r="M51" t="e" cm="1">
        <f t="array" aca="1" ref="M51" ca="1">_xll.BDP(E51,"RTG_SP_LT_LC_ISSUER_CREDIT")</f>
        <v>#NAME?</v>
      </c>
      <c r="N51" t="e" cm="1">
        <f t="array" aca="1" ref="N51" ca="1">_xll.BDP(E51,"RTG_FITCH_LT_ISSUER_DEFAULT")</f>
        <v>#NAME?</v>
      </c>
      <c r="O51" t="e" cm="1">
        <f t="array" aca="1" ref="O51" ca="1">_xll.BDP(E51,"BEST_ANALYST_RATING")</f>
        <v>#NAME?</v>
      </c>
      <c r="P51" t="e" cm="1">
        <f t="array" aca="1" ref="P51" ca="1">_xll.BDP(E51,"BB_ISSR_COMP_BSE_ON_RTGS")</f>
        <v>#NAME?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1003-B65E-4DB5-A919-C78FBA412133}">
  <dimension ref="A1:P51"/>
  <sheetViews>
    <sheetView workbookViewId="0">
      <selection activeCell="G27" sqref="G2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x14ac:dyDescent="0.35">
      <c r="A2" t="s">
        <v>176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9.9422564149613007E-2</v>
      </c>
      <c r="J2">
        <v>4.9711282074806497E-2</v>
      </c>
      <c r="K2">
        <v>2.5975213003740172E-2</v>
      </c>
      <c r="L2" t="s">
        <v>236</v>
      </c>
      <c r="M2" t="s">
        <v>236</v>
      </c>
      <c r="N2" t="s">
        <v>236</v>
      </c>
      <c r="O2">
        <v>3.9000000953674316</v>
      </c>
      <c r="P2" t="s">
        <v>236</v>
      </c>
    </row>
    <row r="3" spans="1:16" x14ac:dyDescent="0.35">
      <c r="A3" t="s">
        <v>176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9.1099084284395032E-2</v>
      </c>
      <c r="J3">
        <v>4.5549542142197523E-2</v>
      </c>
      <c r="K3">
        <v>1.153386182234406E-2</v>
      </c>
      <c r="L3" t="s">
        <v>237</v>
      </c>
      <c r="M3" t="s">
        <v>238</v>
      </c>
      <c r="N3" t="s">
        <v>239</v>
      </c>
      <c r="O3">
        <v>2.9200000762939453</v>
      </c>
      <c r="P3" t="s">
        <v>238</v>
      </c>
    </row>
    <row r="4" spans="1:16" x14ac:dyDescent="0.35">
      <c r="A4" t="s">
        <v>176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7.4416710452082674E-2</v>
      </c>
      <c r="J4">
        <v>3.7208355226041337E-2</v>
      </c>
      <c r="K4">
        <v>3.800220173744151E-5</v>
      </c>
      <c r="L4" t="s">
        <v>236</v>
      </c>
      <c r="M4" t="s">
        <v>236</v>
      </c>
      <c r="N4" t="s">
        <v>240</v>
      </c>
      <c r="O4">
        <v>4.1666665077209473</v>
      </c>
      <c r="P4" t="s">
        <v>241</v>
      </c>
    </row>
    <row r="5" spans="1:16" x14ac:dyDescent="0.35">
      <c r="A5" t="s">
        <v>176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6.0556414005021243E-2</v>
      </c>
      <c r="J5">
        <v>3.0278207002510622E-2</v>
      </c>
      <c r="K5">
        <v>3.0700331491351651E-2</v>
      </c>
      <c r="L5" t="s">
        <v>242</v>
      </c>
      <c r="M5" t="s">
        <v>243</v>
      </c>
      <c r="N5" t="s">
        <v>236</v>
      </c>
      <c r="O5">
        <v>4.5</v>
      </c>
      <c r="P5" t="s">
        <v>241</v>
      </c>
    </row>
    <row r="6" spans="1:16" x14ac:dyDescent="0.35">
      <c r="A6" t="s">
        <v>176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4.443702720855295E-2</v>
      </c>
      <c r="J6">
        <v>2.2218513604276471E-2</v>
      </c>
      <c r="K6">
        <v>9.9804423482151572E-3</v>
      </c>
      <c r="L6" t="s">
        <v>237</v>
      </c>
      <c r="M6" t="s">
        <v>244</v>
      </c>
      <c r="N6" t="s">
        <v>245</v>
      </c>
      <c r="O6">
        <v>2.736842155456543</v>
      </c>
      <c r="P6" t="s">
        <v>244</v>
      </c>
    </row>
    <row r="7" spans="1:16" x14ac:dyDescent="0.35">
      <c r="A7" t="s">
        <v>176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4.1410664029944401E-2</v>
      </c>
      <c r="J7">
        <v>2.07053320149722E-2</v>
      </c>
      <c r="K7">
        <v>6.0317823337625587E-3</v>
      </c>
      <c r="L7" t="s">
        <v>246</v>
      </c>
      <c r="M7" t="s">
        <v>245</v>
      </c>
      <c r="N7" t="s">
        <v>238</v>
      </c>
      <c r="O7">
        <v>4.6842103004455566</v>
      </c>
      <c r="P7" t="s">
        <v>245</v>
      </c>
    </row>
    <row r="8" spans="1:16" x14ac:dyDescent="0.35">
      <c r="A8" t="s">
        <v>176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4.13307181701459E-2</v>
      </c>
      <c r="J8">
        <v>2.066535908507295E-2</v>
      </c>
      <c r="K8">
        <v>9.9043543533683387E-4</v>
      </c>
      <c r="L8" t="s">
        <v>247</v>
      </c>
      <c r="M8" t="s">
        <v>244</v>
      </c>
      <c r="N8" t="s">
        <v>245</v>
      </c>
      <c r="O8">
        <v>4.6521739959716797</v>
      </c>
      <c r="P8" t="s">
        <v>244</v>
      </c>
    </row>
    <row r="9" spans="1:16" x14ac:dyDescent="0.35">
      <c r="A9" t="s">
        <v>176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4.0468967087326092E-2</v>
      </c>
      <c r="J9">
        <v>2.0234483543663039E-2</v>
      </c>
      <c r="K9">
        <v>1.5501989482025191E-4</v>
      </c>
      <c r="L9" t="s">
        <v>248</v>
      </c>
      <c r="M9" t="s">
        <v>249</v>
      </c>
      <c r="N9" t="s">
        <v>249</v>
      </c>
      <c r="O9">
        <v>4.5238094329833984</v>
      </c>
      <c r="P9" t="s">
        <v>249</v>
      </c>
    </row>
    <row r="10" spans="1:16" x14ac:dyDescent="0.35">
      <c r="A10" t="s">
        <v>176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3.9557247754802301E-2</v>
      </c>
      <c r="J10">
        <v>1.977862387740115E-2</v>
      </c>
      <c r="K10">
        <v>3.0156229897536191E-2</v>
      </c>
      <c r="L10" t="s">
        <v>250</v>
      </c>
      <c r="M10" t="s">
        <v>251</v>
      </c>
      <c r="N10" t="s">
        <v>240</v>
      </c>
      <c r="O10">
        <v>3</v>
      </c>
      <c r="P10" t="s">
        <v>241</v>
      </c>
    </row>
    <row r="11" spans="1:16" x14ac:dyDescent="0.35">
      <c r="A11" t="s">
        <v>176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3.7597951889273611E-2</v>
      </c>
      <c r="J11">
        <v>1.8798975944636809E-2</v>
      </c>
      <c r="K11">
        <v>2.6665655572621905E-4</v>
      </c>
      <c r="L11" t="s">
        <v>246</v>
      </c>
      <c r="M11" t="s">
        <v>238</v>
      </c>
      <c r="N11" t="s">
        <v>238</v>
      </c>
      <c r="O11">
        <v>5</v>
      </c>
      <c r="P11" t="s">
        <v>238</v>
      </c>
    </row>
    <row r="12" spans="1:16" x14ac:dyDescent="0.35">
      <c r="A12" t="s">
        <v>176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3.7564610983663337E-2</v>
      </c>
      <c r="J12">
        <v>1.8782305491831668E-2</v>
      </c>
      <c r="K12">
        <v>1.4781562601060561E-3</v>
      </c>
      <c r="L12" t="s">
        <v>237</v>
      </c>
      <c r="M12" t="s">
        <v>245</v>
      </c>
      <c r="N12" t="s">
        <v>240</v>
      </c>
      <c r="O12">
        <v>4</v>
      </c>
      <c r="P12" t="s">
        <v>241</v>
      </c>
    </row>
    <row r="13" spans="1:16" x14ac:dyDescent="0.35">
      <c r="A13" t="s">
        <v>176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3.6018650121057788E-2</v>
      </c>
      <c r="J13">
        <v>1.8009325060528891E-2</v>
      </c>
      <c r="K13">
        <v>8.8439015459851333E-6</v>
      </c>
      <c r="L13" t="s">
        <v>236</v>
      </c>
      <c r="M13" t="s">
        <v>252</v>
      </c>
      <c r="N13" t="s">
        <v>252</v>
      </c>
      <c r="O13">
        <v>4.0416665077209473</v>
      </c>
      <c r="P13" t="s">
        <v>252</v>
      </c>
    </row>
    <row r="14" spans="1:16" x14ac:dyDescent="0.35">
      <c r="A14" t="s">
        <v>176</v>
      </c>
      <c r="B14" t="s">
        <v>11</v>
      </c>
      <c r="C14" t="s">
        <v>55</v>
      </c>
      <c r="D14" t="s">
        <v>56</v>
      </c>
      <c r="E14" t="s">
        <v>57</v>
      </c>
      <c r="F14" t="s">
        <v>38</v>
      </c>
      <c r="G14">
        <v>132368241.48</v>
      </c>
      <c r="H14">
        <v>8.0360492379930783E-3</v>
      </c>
      <c r="I14">
        <v>3.2931607702402013E-2</v>
      </c>
      <c r="J14">
        <v>1.646580385120101E-2</v>
      </c>
      <c r="K14">
        <v>5.7080851105092534E-2</v>
      </c>
      <c r="L14" t="s">
        <v>236</v>
      </c>
      <c r="M14" t="s">
        <v>253</v>
      </c>
      <c r="N14" t="s">
        <v>253</v>
      </c>
      <c r="O14">
        <v>3</v>
      </c>
      <c r="P14" t="s">
        <v>253</v>
      </c>
    </row>
    <row r="15" spans="1:16" x14ac:dyDescent="0.35">
      <c r="A15" t="s">
        <v>176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3.2632674056761818E-2</v>
      </c>
      <c r="J15">
        <v>1.6316337028380909E-2</v>
      </c>
      <c r="K15">
        <v>1.6746545597279283E-4</v>
      </c>
      <c r="L15" t="s">
        <v>247</v>
      </c>
      <c r="M15" t="s">
        <v>244</v>
      </c>
      <c r="N15" t="s">
        <v>236</v>
      </c>
      <c r="O15">
        <v>4.6923074722290039</v>
      </c>
      <c r="P15" t="s">
        <v>241</v>
      </c>
    </row>
    <row r="16" spans="1:16" x14ac:dyDescent="0.35">
      <c r="A16" t="s">
        <v>176</v>
      </c>
      <c r="B16" t="s">
        <v>11</v>
      </c>
      <c r="C16" t="s">
        <v>62</v>
      </c>
      <c r="D16" t="s">
        <v>63</v>
      </c>
      <c r="E16" t="s">
        <v>64</v>
      </c>
      <c r="F16" t="s">
        <v>19</v>
      </c>
      <c r="G16">
        <v>131086786.5</v>
      </c>
      <c r="H16">
        <v>7.9582523646614389E-3</v>
      </c>
      <c r="I16">
        <v>3.2612797297294188E-2</v>
      </c>
      <c r="J16">
        <v>1.6306398648647091E-2</v>
      </c>
      <c r="K16">
        <v>5.3738815628645575E-4</v>
      </c>
      <c r="L16" t="s">
        <v>236</v>
      </c>
      <c r="M16" t="s">
        <v>236</v>
      </c>
      <c r="N16" t="s">
        <v>236</v>
      </c>
      <c r="O16">
        <v>2.8666665554046631</v>
      </c>
      <c r="P16" t="s">
        <v>236</v>
      </c>
    </row>
    <row r="17" spans="1:16" x14ac:dyDescent="0.35">
      <c r="A17" t="s">
        <v>176</v>
      </c>
      <c r="B17" t="s">
        <v>11</v>
      </c>
      <c r="C17" t="s">
        <v>65</v>
      </c>
      <c r="D17" t="s">
        <v>66</v>
      </c>
      <c r="E17" t="s">
        <v>67</v>
      </c>
      <c r="F17" t="s">
        <v>68</v>
      </c>
      <c r="G17">
        <v>122143598.7</v>
      </c>
      <c r="H17">
        <v>7.4153132374065239E-3</v>
      </c>
      <c r="I17">
        <v>3.0387841001542491E-2</v>
      </c>
      <c r="J17">
        <v>1.519392050077124E-2</v>
      </c>
      <c r="K17">
        <v>1.2443996471715346E-2</v>
      </c>
      <c r="L17" t="s">
        <v>236</v>
      </c>
      <c r="M17" t="s">
        <v>245</v>
      </c>
      <c r="N17" t="s">
        <v>238</v>
      </c>
      <c r="O17">
        <v>4.1111111640930176</v>
      </c>
      <c r="P17" t="s">
        <v>245</v>
      </c>
    </row>
    <row r="18" spans="1:16" x14ac:dyDescent="0.35">
      <c r="A18" t="s">
        <v>176</v>
      </c>
      <c r="B18" t="s">
        <v>11</v>
      </c>
      <c r="C18" t="s">
        <v>69</v>
      </c>
      <c r="D18" t="s">
        <v>70</v>
      </c>
      <c r="E18" t="s">
        <v>71</v>
      </c>
      <c r="F18" t="s">
        <v>19</v>
      </c>
      <c r="G18">
        <v>118552234.94</v>
      </c>
      <c r="H18">
        <v>7.1972822680122176E-3</v>
      </c>
      <c r="I18">
        <v>2.9494353401053261E-2</v>
      </c>
      <c r="J18">
        <v>1.474717670052663E-2</v>
      </c>
      <c r="K18">
        <v>0.11266537066914295</v>
      </c>
      <c r="L18" t="s">
        <v>236</v>
      </c>
      <c r="M18" t="s">
        <v>253</v>
      </c>
      <c r="N18" t="s">
        <v>236</v>
      </c>
      <c r="O18">
        <v>2.529411792755127</v>
      </c>
      <c r="P18" t="s">
        <v>241</v>
      </c>
    </row>
    <row r="19" spans="1:16" x14ac:dyDescent="0.35">
      <c r="A19" t="s">
        <v>176</v>
      </c>
      <c r="B19" t="s">
        <v>11</v>
      </c>
      <c r="C19" t="s">
        <v>72</v>
      </c>
      <c r="D19" t="s">
        <v>73</v>
      </c>
      <c r="E19" t="s">
        <v>74</v>
      </c>
      <c r="F19" t="s">
        <v>38</v>
      </c>
      <c r="G19">
        <v>113136953.84999999</v>
      </c>
      <c r="H19">
        <v>6.8685216454471149E-3</v>
      </c>
      <c r="I19">
        <v>2.814709736395421E-2</v>
      </c>
      <c r="J19">
        <v>1.40735486819771E-2</v>
      </c>
      <c r="K19">
        <v>9.3837589275003186E-4</v>
      </c>
      <c r="L19" t="s">
        <v>246</v>
      </c>
      <c r="M19" t="s">
        <v>238</v>
      </c>
      <c r="N19" t="s">
        <v>236</v>
      </c>
      <c r="O19">
        <v>3.8695652484893799</v>
      </c>
      <c r="P19" t="s">
        <v>241</v>
      </c>
    </row>
    <row r="20" spans="1:16" x14ac:dyDescent="0.35">
      <c r="A20" t="s">
        <v>176</v>
      </c>
      <c r="B20" t="s">
        <v>11</v>
      </c>
      <c r="C20" t="s">
        <v>75</v>
      </c>
      <c r="D20" t="s">
        <v>76</v>
      </c>
      <c r="E20" t="s">
        <v>77</v>
      </c>
      <c r="F20" t="s">
        <v>30</v>
      </c>
      <c r="G20">
        <v>112366772.53</v>
      </c>
      <c r="H20">
        <v>6.8217640928763361E-3</v>
      </c>
      <c r="I20">
        <v>2.7955485623808889E-2</v>
      </c>
      <c r="J20">
        <v>1.3977742811904441E-2</v>
      </c>
      <c r="K20">
        <v>1.3087507174880386E-5</v>
      </c>
      <c r="L20" t="s">
        <v>236</v>
      </c>
      <c r="M20" t="s">
        <v>245</v>
      </c>
      <c r="N20" t="s">
        <v>238</v>
      </c>
      <c r="O20">
        <v>4.3125</v>
      </c>
      <c r="P20" t="s">
        <v>245</v>
      </c>
    </row>
    <row r="21" spans="1:16" x14ac:dyDescent="0.35">
      <c r="A21" t="s">
        <v>176</v>
      </c>
      <c r="B21" t="s">
        <v>11</v>
      </c>
      <c r="C21" t="s">
        <v>78</v>
      </c>
      <c r="D21" t="s">
        <v>79</v>
      </c>
      <c r="E21" t="s">
        <v>80</v>
      </c>
      <c r="F21" t="s">
        <v>19</v>
      </c>
      <c r="G21">
        <v>112256692.86</v>
      </c>
      <c r="H21">
        <v>6.8150811783166858E-3</v>
      </c>
      <c r="I21">
        <v>2.7928099141462989E-2</v>
      </c>
      <c r="J21">
        <v>1.3964049570731491E-2</v>
      </c>
      <c r="K21">
        <v>1.4696885212343136E-2</v>
      </c>
      <c r="L21" t="s">
        <v>242</v>
      </c>
      <c r="M21" t="s">
        <v>241</v>
      </c>
      <c r="N21" t="s">
        <v>251</v>
      </c>
      <c r="O21">
        <v>3.25</v>
      </c>
      <c r="P21" t="s">
        <v>241</v>
      </c>
    </row>
    <row r="22" spans="1:16" x14ac:dyDescent="0.35">
      <c r="A22" t="s">
        <v>176</v>
      </c>
      <c r="B22" t="s">
        <v>11</v>
      </c>
      <c r="C22" t="s">
        <v>81</v>
      </c>
      <c r="D22" t="s">
        <v>82</v>
      </c>
      <c r="E22" t="s">
        <v>83</v>
      </c>
      <c r="F22" t="s">
        <v>30</v>
      </c>
      <c r="G22">
        <v>107333787.78</v>
      </c>
      <c r="H22">
        <v>6.5162126039931111E-3</v>
      </c>
      <c r="I22">
        <v>2.6703340263970331E-2</v>
      </c>
      <c r="J22">
        <v>1.335167013198516E-2</v>
      </c>
      <c r="K22">
        <v>2.4317896285541707E-6</v>
      </c>
      <c r="L22" t="s">
        <v>236</v>
      </c>
      <c r="M22" t="s">
        <v>238</v>
      </c>
      <c r="N22" t="s">
        <v>236</v>
      </c>
      <c r="O22">
        <v>4.0370368957519531</v>
      </c>
      <c r="P22" t="s">
        <v>241</v>
      </c>
    </row>
    <row r="23" spans="1:16" x14ac:dyDescent="0.35">
      <c r="A23" t="s">
        <v>176</v>
      </c>
      <c r="B23" t="s">
        <v>11</v>
      </c>
      <c r="C23" t="s">
        <v>84</v>
      </c>
      <c r="D23" t="s">
        <v>85</v>
      </c>
      <c r="E23" t="s">
        <v>86</v>
      </c>
      <c r="F23" t="s">
        <v>38</v>
      </c>
      <c r="G23">
        <v>103435800.63</v>
      </c>
      <c r="H23">
        <v>6.2795665904461437E-3</v>
      </c>
      <c r="I23">
        <v>2.5733568495322941E-2</v>
      </c>
      <c r="J23">
        <v>1.286678424766147E-2</v>
      </c>
      <c r="K23">
        <v>3.4311809182396846E-4</v>
      </c>
      <c r="L23" t="s">
        <v>254</v>
      </c>
      <c r="M23" t="s">
        <v>255</v>
      </c>
      <c r="N23" t="s">
        <v>236</v>
      </c>
      <c r="O23">
        <v>4.5</v>
      </c>
      <c r="P23" t="s">
        <v>241</v>
      </c>
    </row>
    <row r="24" spans="1:16" x14ac:dyDescent="0.35">
      <c r="A24" t="s">
        <v>176</v>
      </c>
      <c r="B24" t="s">
        <v>11</v>
      </c>
      <c r="C24" t="s">
        <v>96</v>
      </c>
      <c r="D24" t="s">
        <v>97</v>
      </c>
      <c r="E24" t="s">
        <v>98</v>
      </c>
      <c r="F24" t="s">
        <v>23</v>
      </c>
      <c r="G24">
        <v>99813361.519999996</v>
      </c>
      <c r="H24">
        <v>6.0596490428220769E-3</v>
      </c>
      <c r="I24">
        <v>2.4832349725906991E-2</v>
      </c>
      <c r="J24">
        <v>1.2416174862953501E-2</v>
      </c>
      <c r="K24">
        <v>6.4950016634202079E-5</v>
      </c>
      <c r="L24" t="s">
        <v>236</v>
      </c>
      <c r="M24" t="s">
        <v>238</v>
      </c>
      <c r="N24" t="s">
        <v>241</v>
      </c>
      <c r="O24">
        <v>4.3043479919433594</v>
      </c>
      <c r="P24" t="s">
        <v>241</v>
      </c>
    </row>
    <row r="25" spans="1:16" x14ac:dyDescent="0.35">
      <c r="A25" t="s">
        <v>176</v>
      </c>
      <c r="B25" t="s">
        <v>11</v>
      </c>
      <c r="C25" t="s">
        <v>114</v>
      </c>
      <c r="D25" t="s">
        <v>115</v>
      </c>
      <c r="E25" t="s">
        <v>116</v>
      </c>
      <c r="F25" t="s">
        <v>61</v>
      </c>
      <c r="G25">
        <v>78490527.070000008</v>
      </c>
      <c r="H25">
        <v>4.7651440647555289E-3</v>
      </c>
      <c r="I25">
        <v>1.9527487990497749E-2</v>
      </c>
      <c r="J25">
        <v>9.7637439952488747E-3</v>
      </c>
      <c r="K25">
        <v>4.0559400114326127E-4</v>
      </c>
      <c r="L25" t="s">
        <v>246</v>
      </c>
      <c r="M25" t="s">
        <v>238</v>
      </c>
      <c r="N25" t="s">
        <v>260</v>
      </c>
      <c r="O25">
        <v>4.5434784889221191</v>
      </c>
      <c r="P25" t="s">
        <v>238</v>
      </c>
    </row>
    <row r="26" spans="1:16" x14ac:dyDescent="0.35">
      <c r="A26" t="s">
        <v>176</v>
      </c>
      <c r="B26" t="s">
        <v>11</v>
      </c>
      <c r="C26" t="s">
        <v>121</v>
      </c>
      <c r="D26" t="s">
        <v>122</v>
      </c>
      <c r="E26" t="s">
        <v>123</v>
      </c>
      <c r="F26" t="s">
        <v>124</v>
      </c>
      <c r="G26">
        <v>69266602.489999995</v>
      </c>
      <c r="H26">
        <v>4.2051614642190224E-3</v>
      </c>
      <c r="I26">
        <v>1.723268780014393E-2</v>
      </c>
      <c r="J26">
        <v>8.6163439000719669E-3</v>
      </c>
      <c r="K26">
        <v>7.7621969259944468E-3</v>
      </c>
      <c r="L26" t="s">
        <v>242</v>
      </c>
      <c r="M26" t="s">
        <v>253</v>
      </c>
      <c r="N26" t="s">
        <v>236</v>
      </c>
      <c r="O26">
        <v>3</v>
      </c>
      <c r="P26" t="s">
        <v>241</v>
      </c>
    </row>
    <row r="27" spans="1:16" x14ac:dyDescent="0.35">
      <c r="A27" t="s">
        <v>176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  <c r="G27">
        <v>905800559.92999995</v>
      </c>
      <c r="H27">
        <v>2.9947624821845539E-2</v>
      </c>
      <c r="I27">
        <v>7.6310658937305875E-2</v>
      </c>
      <c r="J27">
        <v>3.8155329468652938E-2</v>
      </c>
      <c r="K27">
        <v>6.708493977669594E-5</v>
      </c>
      <c r="L27" t="s">
        <v>236</v>
      </c>
      <c r="M27" t="s">
        <v>249</v>
      </c>
      <c r="N27" t="s">
        <v>261</v>
      </c>
      <c r="O27">
        <v>4.0882353782653809</v>
      </c>
      <c r="P27" t="s">
        <v>252</v>
      </c>
    </row>
    <row r="28" spans="1:16" x14ac:dyDescent="0.35">
      <c r="A28" t="s">
        <v>176</v>
      </c>
      <c r="B28" t="s">
        <v>128</v>
      </c>
      <c r="C28" t="s">
        <v>133</v>
      </c>
      <c r="D28" t="s">
        <v>134</v>
      </c>
      <c r="E28" t="s">
        <v>135</v>
      </c>
      <c r="F28" t="s">
        <v>132</v>
      </c>
      <c r="G28">
        <v>832865606.57000005</v>
      </c>
      <c r="H28">
        <v>2.753624563281868E-2</v>
      </c>
      <c r="I28">
        <v>7.0166133755191415E-2</v>
      </c>
      <c r="J28">
        <v>3.5083066877595707E-2</v>
      </c>
      <c r="K28">
        <v>1.0837951082087738E-4</v>
      </c>
      <c r="L28" t="s">
        <v>236</v>
      </c>
      <c r="M28" t="s">
        <v>262</v>
      </c>
      <c r="N28" t="s">
        <v>252</v>
      </c>
      <c r="O28">
        <v>3.9629628658294678</v>
      </c>
      <c r="P28" t="s">
        <v>249</v>
      </c>
    </row>
    <row r="29" spans="1:16" x14ac:dyDescent="0.35">
      <c r="A29" t="s">
        <v>176</v>
      </c>
      <c r="B29" t="s">
        <v>128</v>
      </c>
      <c r="C29" t="s">
        <v>136</v>
      </c>
      <c r="D29" t="s">
        <v>137</v>
      </c>
      <c r="E29" t="s">
        <v>138</v>
      </c>
      <c r="F29" t="s">
        <v>132</v>
      </c>
      <c r="G29">
        <v>809126442.03999996</v>
      </c>
      <c r="H29">
        <v>2.6751380150969731E-2</v>
      </c>
      <c r="I29">
        <v>6.8166188769459207E-2</v>
      </c>
      <c r="J29">
        <v>3.4083094384729597E-2</v>
      </c>
      <c r="K29">
        <v>5.7581771429116024E-5</v>
      </c>
      <c r="L29" t="s">
        <v>236</v>
      </c>
      <c r="M29" t="s">
        <v>262</v>
      </c>
      <c r="N29" t="s">
        <v>261</v>
      </c>
      <c r="O29">
        <v>4.6999998092651367</v>
      </c>
      <c r="P29" t="s">
        <v>252</v>
      </c>
    </row>
    <row r="30" spans="1:16" x14ac:dyDescent="0.35">
      <c r="A30" t="s">
        <v>176</v>
      </c>
      <c r="B30" t="s">
        <v>128</v>
      </c>
      <c r="C30" t="s">
        <v>177</v>
      </c>
      <c r="D30" t="s">
        <v>178</v>
      </c>
      <c r="E30" t="s">
        <v>179</v>
      </c>
      <c r="F30" t="s">
        <v>132</v>
      </c>
      <c r="G30">
        <v>754039548.25</v>
      </c>
      <c r="H30">
        <v>2.4930094427817531E-2</v>
      </c>
      <c r="I30">
        <v>6.3525302740144826E-2</v>
      </c>
      <c r="J30">
        <v>3.1762651370072413E-2</v>
      </c>
      <c r="K30">
        <v>2.5183418984187078E-4</v>
      </c>
      <c r="L30" t="s">
        <v>236</v>
      </c>
      <c r="M30" t="s">
        <v>269</v>
      </c>
      <c r="N30" t="s">
        <v>249</v>
      </c>
      <c r="O30">
        <v>3.75</v>
      </c>
      <c r="P30" t="s">
        <v>262</v>
      </c>
    </row>
    <row r="31" spans="1:16" x14ac:dyDescent="0.35">
      <c r="A31" t="s">
        <v>176</v>
      </c>
      <c r="B31" t="s">
        <v>128</v>
      </c>
      <c r="C31" t="s">
        <v>139</v>
      </c>
      <c r="D31" t="s">
        <v>140</v>
      </c>
      <c r="E31" t="s">
        <v>141</v>
      </c>
      <c r="F31" t="s">
        <v>61</v>
      </c>
      <c r="G31">
        <v>713464004.85000002</v>
      </c>
      <c r="H31">
        <v>2.3588583719566691E-2</v>
      </c>
      <c r="I31">
        <v>6.0106949307207523E-2</v>
      </c>
      <c r="J31">
        <v>3.0053474653603762E-2</v>
      </c>
      <c r="K31">
        <v>1.4148314501311043E-3</v>
      </c>
      <c r="L31" t="s">
        <v>263</v>
      </c>
      <c r="M31" t="s">
        <v>264</v>
      </c>
      <c r="N31" t="s">
        <v>264</v>
      </c>
      <c r="O31">
        <v>4.529411792755127</v>
      </c>
      <c r="P31" t="s">
        <v>264</v>
      </c>
    </row>
    <row r="32" spans="1:16" x14ac:dyDescent="0.35">
      <c r="A32" t="s">
        <v>176</v>
      </c>
      <c r="B32" t="s">
        <v>128</v>
      </c>
      <c r="C32" t="s">
        <v>180</v>
      </c>
      <c r="D32" t="s">
        <v>181</v>
      </c>
      <c r="E32" t="s">
        <v>182</v>
      </c>
      <c r="F32" t="s">
        <v>132</v>
      </c>
      <c r="G32">
        <v>591434812.02999997</v>
      </c>
      <c r="H32">
        <v>1.955404825386944E-2</v>
      </c>
      <c r="I32">
        <v>4.982639912251631E-2</v>
      </c>
      <c r="J32">
        <v>2.4913199561258152E-2</v>
      </c>
      <c r="K32">
        <v>2.0368479332188993E-4</v>
      </c>
      <c r="L32" t="s">
        <v>236</v>
      </c>
      <c r="M32" t="s">
        <v>269</v>
      </c>
      <c r="N32" t="s">
        <v>252</v>
      </c>
      <c r="O32">
        <v>4.1212120056152344</v>
      </c>
      <c r="P32" t="s">
        <v>249</v>
      </c>
    </row>
    <row r="33" spans="1:16" x14ac:dyDescent="0.35">
      <c r="A33" t="s">
        <v>176</v>
      </c>
      <c r="B33" t="s">
        <v>128</v>
      </c>
      <c r="C33" t="s">
        <v>142</v>
      </c>
      <c r="D33" t="s">
        <v>143</v>
      </c>
      <c r="E33" t="s">
        <v>144</v>
      </c>
      <c r="F33" t="s">
        <v>30</v>
      </c>
      <c r="G33">
        <v>556682073.77999997</v>
      </c>
      <c r="H33">
        <v>1.8405051429752631E-2</v>
      </c>
      <c r="I33">
        <v>4.6898597492609877E-2</v>
      </c>
      <c r="J33">
        <v>2.3449298746304938E-2</v>
      </c>
      <c r="K33">
        <v>3.3677869262227489E-6</v>
      </c>
      <c r="L33" t="s">
        <v>265</v>
      </c>
      <c r="M33" t="s">
        <v>266</v>
      </c>
      <c r="N33" t="s">
        <v>261</v>
      </c>
      <c r="O33">
        <v>4.8780488967895508</v>
      </c>
      <c r="P33" t="s">
        <v>261</v>
      </c>
    </row>
    <row r="34" spans="1:16" x14ac:dyDescent="0.35">
      <c r="A34" t="s">
        <v>176</v>
      </c>
      <c r="B34" t="s">
        <v>128</v>
      </c>
      <c r="C34" t="s">
        <v>145</v>
      </c>
      <c r="D34" t="s">
        <v>146</v>
      </c>
      <c r="E34" t="s">
        <v>147</v>
      </c>
      <c r="F34" t="s">
        <v>19</v>
      </c>
      <c r="G34">
        <v>523010381.36000001</v>
      </c>
      <c r="H34">
        <v>1.7291796198613589E-2</v>
      </c>
      <c r="I34">
        <v>4.406187034783636E-2</v>
      </c>
      <c r="J34">
        <v>2.203093517391818E-2</v>
      </c>
      <c r="K34">
        <v>8.743137082189989E-5</v>
      </c>
      <c r="L34" t="s">
        <v>263</v>
      </c>
      <c r="M34" t="s">
        <v>264</v>
      </c>
      <c r="N34" t="s">
        <v>267</v>
      </c>
      <c r="O34">
        <v>4.1999998092651367</v>
      </c>
      <c r="P34" t="s">
        <v>264</v>
      </c>
    </row>
    <row r="35" spans="1:16" x14ac:dyDescent="0.35">
      <c r="A35" t="s">
        <v>176</v>
      </c>
      <c r="B35" t="s">
        <v>128</v>
      </c>
      <c r="C35" t="s">
        <v>183</v>
      </c>
      <c r="D35" t="s">
        <v>184</v>
      </c>
      <c r="E35" t="s">
        <v>185</v>
      </c>
      <c r="F35" t="s">
        <v>132</v>
      </c>
      <c r="G35">
        <v>513060947.72000003</v>
      </c>
      <c r="H35">
        <v>1.696284751054522E-2</v>
      </c>
      <c r="I35">
        <v>4.3223663936062813E-2</v>
      </c>
      <c r="J35">
        <v>2.161183196803141E-2</v>
      </c>
      <c r="K35">
        <v>2.7617801596646618E-4</v>
      </c>
      <c r="L35" t="s">
        <v>236</v>
      </c>
      <c r="M35" t="s">
        <v>269</v>
      </c>
      <c r="N35" t="s">
        <v>249</v>
      </c>
      <c r="O35">
        <v>4.6923074722290039</v>
      </c>
      <c r="P35" t="s">
        <v>262</v>
      </c>
    </row>
    <row r="36" spans="1:16" x14ac:dyDescent="0.35">
      <c r="A36" t="s">
        <v>176</v>
      </c>
      <c r="B36" t="s">
        <v>128</v>
      </c>
      <c r="C36" t="s">
        <v>148</v>
      </c>
      <c r="D36" t="s">
        <v>149</v>
      </c>
      <c r="E36" t="s">
        <v>150</v>
      </c>
      <c r="F36" t="s">
        <v>19</v>
      </c>
      <c r="G36">
        <v>507049236.01999998</v>
      </c>
      <c r="H36">
        <v>1.676408798831374E-2</v>
      </c>
      <c r="I36">
        <v>4.27171973898249E-2</v>
      </c>
      <c r="J36">
        <v>2.135859869491245E-2</v>
      </c>
      <c r="K36">
        <v>6.6221910005714868E-5</v>
      </c>
      <c r="L36" t="s">
        <v>268</v>
      </c>
      <c r="M36" t="s">
        <v>269</v>
      </c>
      <c r="N36" t="s">
        <v>262</v>
      </c>
      <c r="O36">
        <v>3.5999999046325684</v>
      </c>
      <c r="P36" t="s">
        <v>269</v>
      </c>
    </row>
    <row r="37" spans="1:16" x14ac:dyDescent="0.35">
      <c r="A37" t="s">
        <v>176</v>
      </c>
      <c r="B37" t="s">
        <v>128</v>
      </c>
      <c r="C37" t="s">
        <v>186</v>
      </c>
      <c r="D37" t="s">
        <v>187</v>
      </c>
      <c r="E37" t="s">
        <v>188</v>
      </c>
      <c r="F37" t="s">
        <v>19</v>
      </c>
      <c r="G37">
        <v>496399779.08999997</v>
      </c>
      <c r="H37">
        <v>1.6411995094133269E-2</v>
      </c>
      <c r="I37">
        <v>4.1820016363887401E-2</v>
      </c>
      <c r="J37">
        <v>2.09100081819437E-2</v>
      </c>
      <c r="K37">
        <v>3.3887151292821827E-6</v>
      </c>
      <c r="L37" t="s">
        <v>274</v>
      </c>
      <c r="M37" t="s">
        <v>261</v>
      </c>
      <c r="N37" t="s">
        <v>236</v>
      </c>
      <c r="O37">
        <v>4.7468352317810059</v>
      </c>
      <c r="P37" t="s">
        <v>261</v>
      </c>
    </row>
    <row r="38" spans="1:16" x14ac:dyDescent="0.35">
      <c r="A38" t="s">
        <v>176</v>
      </c>
      <c r="B38" t="s">
        <v>128</v>
      </c>
      <c r="C38" t="s">
        <v>151</v>
      </c>
      <c r="D38" t="s">
        <v>152</v>
      </c>
      <c r="E38" t="s">
        <v>153</v>
      </c>
      <c r="F38" t="s">
        <v>154</v>
      </c>
      <c r="G38">
        <v>425102643.92000002</v>
      </c>
      <c r="H38">
        <v>1.405476553456159E-2</v>
      </c>
      <c r="I38">
        <v>3.581347187070965E-2</v>
      </c>
      <c r="J38">
        <v>1.7906735935354821E-2</v>
      </c>
      <c r="K38">
        <v>4.238107165970284E-4</v>
      </c>
      <c r="L38" t="s">
        <v>248</v>
      </c>
      <c r="M38" t="s">
        <v>252</v>
      </c>
      <c r="N38" t="s">
        <v>249</v>
      </c>
      <c r="O38">
        <v>4.4193549156188965</v>
      </c>
      <c r="P38" t="s">
        <v>249</v>
      </c>
    </row>
    <row r="39" spans="1:16" x14ac:dyDescent="0.35">
      <c r="A39" t="s">
        <v>176</v>
      </c>
      <c r="B39" t="s">
        <v>128</v>
      </c>
      <c r="C39" t="s">
        <v>155</v>
      </c>
      <c r="D39" t="s">
        <v>156</v>
      </c>
      <c r="E39" t="s">
        <v>157</v>
      </c>
      <c r="F39" t="s">
        <v>61</v>
      </c>
      <c r="G39">
        <v>416844685.43000001</v>
      </c>
      <c r="H39">
        <v>1.3781740485126859E-2</v>
      </c>
      <c r="I39">
        <v>3.5117766566776613E-2</v>
      </c>
      <c r="J39">
        <v>1.75588832833883E-2</v>
      </c>
      <c r="K39">
        <v>8.7980564748013634E-6</v>
      </c>
      <c r="L39" t="s">
        <v>270</v>
      </c>
      <c r="M39" t="s">
        <v>262</v>
      </c>
      <c r="N39" t="s">
        <v>262</v>
      </c>
      <c r="O39">
        <v>4.8305087089538574</v>
      </c>
      <c r="P39" t="s">
        <v>262</v>
      </c>
    </row>
    <row r="40" spans="1:16" x14ac:dyDescent="0.35">
      <c r="A40" t="s">
        <v>176</v>
      </c>
      <c r="B40" t="s">
        <v>128</v>
      </c>
      <c r="C40" t="s">
        <v>189</v>
      </c>
      <c r="D40" t="s">
        <v>190</v>
      </c>
      <c r="E40" t="s">
        <v>191</v>
      </c>
      <c r="F40" t="s">
        <v>19</v>
      </c>
      <c r="G40">
        <v>404146862.76999998</v>
      </c>
      <c r="H40">
        <v>1.336192441755301E-2</v>
      </c>
      <c r="I40">
        <v>3.4048017598716201E-2</v>
      </c>
      <c r="J40">
        <v>1.7024008799358101E-2</v>
      </c>
      <c r="K40">
        <v>1.9561990484262548E-4</v>
      </c>
      <c r="L40" t="s">
        <v>270</v>
      </c>
      <c r="M40" t="s">
        <v>269</v>
      </c>
      <c r="N40" t="s">
        <v>269</v>
      </c>
      <c r="O40">
        <v>5</v>
      </c>
      <c r="P40" t="s">
        <v>269</v>
      </c>
    </row>
    <row r="41" spans="1:16" x14ac:dyDescent="0.35">
      <c r="A41" t="s">
        <v>176</v>
      </c>
      <c r="B41" t="s">
        <v>128</v>
      </c>
      <c r="C41" t="s">
        <v>192</v>
      </c>
      <c r="D41" t="s">
        <v>193</v>
      </c>
      <c r="E41" t="s">
        <v>194</v>
      </c>
      <c r="F41" t="s">
        <v>132</v>
      </c>
      <c r="G41">
        <v>391065829.50999999</v>
      </c>
      <c r="H41">
        <v>1.2929438621360921E-2</v>
      </c>
      <c r="I41">
        <v>3.2945984422971031E-2</v>
      </c>
      <c r="J41">
        <v>1.6472992211485519E-2</v>
      </c>
      <c r="K41">
        <v>1.403889658098123E-4</v>
      </c>
      <c r="L41" t="s">
        <v>236</v>
      </c>
      <c r="M41" t="s">
        <v>262</v>
      </c>
      <c r="N41" t="s">
        <v>252</v>
      </c>
      <c r="O41">
        <v>3.7272727489471436</v>
      </c>
      <c r="P41" t="s">
        <v>249</v>
      </c>
    </row>
    <row r="42" spans="1:16" x14ac:dyDescent="0.35">
      <c r="A42" t="s">
        <v>176</v>
      </c>
      <c r="B42" t="s">
        <v>128</v>
      </c>
      <c r="C42" t="s">
        <v>195</v>
      </c>
      <c r="D42" t="s">
        <v>196</v>
      </c>
      <c r="E42" t="s">
        <v>197</v>
      </c>
      <c r="F42" t="s">
        <v>19</v>
      </c>
      <c r="G42">
        <v>388093478.51999998</v>
      </c>
      <c r="H42">
        <v>1.283116659965425E-2</v>
      </c>
      <c r="I42">
        <v>3.2695573821925047E-2</v>
      </c>
      <c r="J42">
        <v>1.6347786910962531E-2</v>
      </c>
      <c r="K42">
        <v>1.908650165169945E-4</v>
      </c>
      <c r="L42" t="s">
        <v>270</v>
      </c>
      <c r="M42" t="s">
        <v>262</v>
      </c>
      <c r="N42" t="s">
        <v>262</v>
      </c>
      <c r="O42">
        <v>3.3636362552642822</v>
      </c>
      <c r="P42" t="s">
        <v>262</v>
      </c>
    </row>
    <row r="43" spans="1:16" x14ac:dyDescent="0.35">
      <c r="A43" t="s">
        <v>176</v>
      </c>
      <c r="B43" t="s">
        <v>128</v>
      </c>
      <c r="C43" t="s">
        <v>158</v>
      </c>
      <c r="D43" t="s">
        <v>159</v>
      </c>
      <c r="E43" t="s">
        <v>160</v>
      </c>
      <c r="F43" t="s">
        <v>38</v>
      </c>
      <c r="G43">
        <v>362944516.57999998</v>
      </c>
      <c r="H43">
        <v>1.199969032313682E-2</v>
      </c>
      <c r="I43">
        <v>3.0576858133143699E-2</v>
      </c>
      <c r="J43">
        <v>1.528842906657185E-2</v>
      </c>
      <c r="K43">
        <v>7.9453981537414009E-6</v>
      </c>
      <c r="L43" t="s">
        <v>248</v>
      </c>
      <c r="M43" t="s">
        <v>262</v>
      </c>
      <c r="N43" t="s">
        <v>236</v>
      </c>
      <c r="O43">
        <v>4.529411792755127</v>
      </c>
      <c r="P43" t="s">
        <v>262</v>
      </c>
    </row>
    <row r="44" spans="1:16" x14ac:dyDescent="0.35">
      <c r="A44" t="s">
        <v>176</v>
      </c>
      <c r="B44" t="s">
        <v>128</v>
      </c>
      <c r="C44" t="s">
        <v>198</v>
      </c>
      <c r="D44" t="s">
        <v>199</v>
      </c>
      <c r="E44" t="s">
        <v>200</v>
      </c>
      <c r="F44" t="s">
        <v>61</v>
      </c>
      <c r="G44">
        <v>334489131.64999998</v>
      </c>
      <c r="H44">
        <v>1.1058896919221619E-2</v>
      </c>
      <c r="I44">
        <v>2.8179587397860879E-2</v>
      </c>
      <c r="J44">
        <v>1.4089793698930439E-2</v>
      </c>
      <c r="K44">
        <v>8.1047195843453324E-8</v>
      </c>
      <c r="L44" t="s">
        <v>271</v>
      </c>
      <c r="M44" t="s">
        <v>275</v>
      </c>
      <c r="N44" t="s">
        <v>236</v>
      </c>
      <c r="O44">
        <v>4.7199997901916504</v>
      </c>
      <c r="P44" t="s">
        <v>266</v>
      </c>
    </row>
    <row r="45" spans="1:16" x14ac:dyDescent="0.35">
      <c r="A45" t="s">
        <v>176</v>
      </c>
      <c r="B45" t="s">
        <v>128</v>
      </c>
      <c r="C45" t="s">
        <v>161</v>
      </c>
      <c r="D45" t="s">
        <v>162</v>
      </c>
      <c r="E45" t="s">
        <v>163</v>
      </c>
      <c r="F45" t="s">
        <v>34</v>
      </c>
      <c r="G45">
        <v>325529724.55000001</v>
      </c>
      <c r="H45">
        <v>1.076268053967146E-2</v>
      </c>
      <c r="I45">
        <v>2.7424787401334701E-2</v>
      </c>
      <c r="J45">
        <v>1.371239370066735E-2</v>
      </c>
      <c r="K45">
        <v>1.587606712760703E-10</v>
      </c>
      <c r="L45" t="s">
        <v>271</v>
      </c>
      <c r="M45" t="s">
        <v>266</v>
      </c>
      <c r="N45" t="s">
        <v>272</v>
      </c>
      <c r="O45">
        <v>3</v>
      </c>
      <c r="P45" t="s">
        <v>266</v>
      </c>
    </row>
    <row r="46" spans="1:16" x14ac:dyDescent="0.35">
      <c r="A46" t="s">
        <v>176</v>
      </c>
      <c r="B46" t="s">
        <v>128</v>
      </c>
      <c r="C46" t="s">
        <v>164</v>
      </c>
      <c r="D46" t="s">
        <v>165</v>
      </c>
      <c r="E46" t="s">
        <v>166</v>
      </c>
      <c r="F46" t="s">
        <v>38</v>
      </c>
      <c r="G46">
        <v>319162528.54000002</v>
      </c>
      <c r="H46">
        <v>1.0552167976851479E-2</v>
      </c>
      <c r="I46">
        <v>2.6888372494344979E-2</v>
      </c>
      <c r="J46">
        <v>1.3444186247172489E-2</v>
      </c>
      <c r="K46">
        <v>3.3966799623863508E-5</v>
      </c>
      <c r="L46" t="s">
        <v>268</v>
      </c>
      <c r="M46" t="s">
        <v>269</v>
      </c>
      <c r="N46" t="s">
        <v>269</v>
      </c>
      <c r="O46">
        <v>3.7567567825317383</v>
      </c>
      <c r="P46" t="s">
        <v>269</v>
      </c>
    </row>
    <row r="47" spans="1:16" x14ac:dyDescent="0.35">
      <c r="A47" t="s">
        <v>176</v>
      </c>
      <c r="B47" t="s">
        <v>128</v>
      </c>
      <c r="C47" t="s">
        <v>167</v>
      </c>
      <c r="D47" t="s">
        <v>168</v>
      </c>
      <c r="E47" t="s">
        <v>169</v>
      </c>
      <c r="F47" t="s">
        <v>38</v>
      </c>
      <c r="G47">
        <v>309049197.52999997</v>
      </c>
      <c r="H47">
        <v>1.0217800505484469E-2</v>
      </c>
      <c r="I47">
        <v>2.6036358278893591E-2</v>
      </c>
      <c r="J47">
        <v>1.3018179139446801E-2</v>
      </c>
      <c r="K47">
        <v>4.2979488580086045E-4</v>
      </c>
      <c r="L47" t="s">
        <v>273</v>
      </c>
      <c r="M47" t="s">
        <v>264</v>
      </c>
      <c r="N47" t="s">
        <v>264</v>
      </c>
      <c r="O47">
        <v>4.7142858505249023</v>
      </c>
      <c r="P47" t="s">
        <v>264</v>
      </c>
    </row>
    <row r="48" spans="1:16" x14ac:dyDescent="0.35">
      <c r="A48" t="s">
        <v>176</v>
      </c>
      <c r="B48" t="s">
        <v>128</v>
      </c>
      <c r="C48" t="s">
        <v>201</v>
      </c>
      <c r="D48" t="s">
        <v>202</v>
      </c>
      <c r="E48" t="s">
        <v>203</v>
      </c>
      <c r="F48" t="s">
        <v>38</v>
      </c>
      <c r="G48">
        <v>301539418.44</v>
      </c>
      <c r="H48">
        <v>9.969511801953929E-3</v>
      </c>
      <c r="I48">
        <v>2.5403684579866741E-2</v>
      </c>
      <c r="J48">
        <v>1.270184228993337E-2</v>
      </c>
      <c r="K48">
        <v>4.6617432968187877E-5</v>
      </c>
      <c r="L48" t="s">
        <v>248</v>
      </c>
      <c r="M48" t="s">
        <v>249</v>
      </c>
      <c r="N48" t="s">
        <v>240</v>
      </c>
      <c r="O48">
        <v>3.5333333015441895</v>
      </c>
      <c r="P48" t="s">
        <v>249</v>
      </c>
    </row>
    <row r="49" spans="1:16" x14ac:dyDescent="0.35">
      <c r="A49" t="s">
        <v>176</v>
      </c>
      <c r="B49" t="s">
        <v>128</v>
      </c>
      <c r="C49" t="s">
        <v>170</v>
      </c>
      <c r="D49" t="s">
        <v>171</v>
      </c>
      <c r="E49" t="s">
        <v>172</v>
      </c>
      <c r="F49" t="s">
        <v>23</v>
      </c>
      <c r="G49">
        <v>240190668.31</v>
      </c>
      <c r="H49">
        <v>7.9411962615833533E-3</v>
      </c>
      <c r="I49">
        <v>2.0235258157429759E-2</v>
      </c>
      <c r="J49">
        <v>1.011762907871488E-2</v>
      </c>
      <c r="K49">
        <v>1.0875131330323473E-4</v>
      </c>
      <c r="L49" t="s">
        <v>273</v>
      </c>
      <c r="M49" t="s">
        <v>260</v>
      </c>
      <c r="N49" t="s">
        <v>260</v>
      </c>
      <c r="O49">
        <v>4.53125</v>
      </c>
      <c r="P49" t="s">
        <v>260</v>
      </c>
    </row>
    <row r="50" spans="1:16" x14ac:dyDescent="0.35">
      <c r="A50" t="s">
        <v>176</v>
      </c>
      <c r="B50" t="s">
        <v>128</v>
      </c>
      <c r="C50" t="s">
        <v>204</v>
      </c>
      <c r="D50" t="s">
        <v>205</v>
      </c>
      <c r="E50" t="s">
        <v>206</v>
      </c>
      <c r="F50" t="s">
        <v>30</v>
      </c>
      <c r="G50">
        <v>232306626.06999999</v>
      </c>
      <c r="H50">
        <v>7.6805336504878726E-3</v>
      </c>
      <c r="I50">
        <v>1.9571054043369101E-2</v>
      </c>
      <c r="J50">
        <v>9.7855270216845487E-3</v>
      </c>
      <c r="K50">
        <v>6.9628543227440165E-4</v>
      </c>
      <c r="L50" t="s">
        <v>263</v>
      </c>
      <c r="M50" t="s">
        <v>264</v>
      </c>
      <c r="N50" t="s">
        <v>264</v>
      </c>
      <c r="O50">
        <v>4.3548388481140137</v>
      </c>
      <c r="P50" t="s">
        <v>264</v>
      </c>
    </row>
    <row r="51" spans="1:16" x14ac:dyDescent="0.35">
      <c r="A51" t="s">
        <v>176</v>
      </c>
      <c r="B51" t="s">
        <v>128</v>
      </c>
      <c r="C51" t="s">
        <v>173</v>
      </c>
      <c r="D51" t="s">
        <v>174</v>
      </c>
      <c r="E51" t="s">
        <v>175</v>
      </c>
      <c r="F51" t="s">
        <v>15</v>
      </c>
      <c r="G51">
        <v>216510068.71000001</v>
      </c>
      <c r="H51">
        <v>7.1582670564700893E-3</v>
      </c>
      <c r="I51">
        <v>1.8240247070611539E-2</v>
      </c>
      <c r="J51">
        <v>9.1201235353057675E-3</v>
      </c>
      <c r="K51">
        <v>3.6320905462683406E-5</v>
      </c>
      <c r="L51" t="s">
        <v>263</v>
      </c>
      <c r="M51" t="s">
        <v>264</v>
      </c>
      <c r="N51" t="s">
        <v>264</v>
      </c>
      <c r="O51">
        <v>4.7142858505249023</v>
      </c>
      <c r="P51" t="s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workbookViewId="0">
      <selection activeCell="G22" sqref="A1:P51"/>
    </sheetView>
  </sheetViews>
  <sheetFormatPr defaultRowHeight="14.5" x14ac:dyDescent="0.35"/>
  <cols>
    <col min="11" max="11" width="25.54296875" bestFit="1" customWidth="1"/>
    <col min="12" max="12" width="23.81640625" bestFit="1" customWidth="1"/>
    <col min="13" max="13" width="39.26953125" bestFit="1" customWidth="1"/>
    <col min="14" max="14" width="35.81640625" bestFit="1" customWidth="1"/>
    <col min="15" max="15" width="24.54296875" bestFit="1" customWidth="1"/>
    <col min="16" max="16" width="4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x14ac:dyDescent="0.35">
      <c r="A2" t="s">
        <v>207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0.13382678379697921</v>
      </c>
      <c r="J2">
        <v>4.0148035139093742E-2</v>
      </c>
      <c r="K2" t="e" cm="1">
        <f t="array" aca="1" ref="K2" ca="1">_xll.BDP(E2,"BB_1YR_DEFAULT_PROB")</f>
        <v>#NAME?</v>
      </c>
      <c r="L2" t="e" cm="1">
        <f t="array" aca="1" ref="L2" ca="1">_xll.BDP(E2,"RTG_MOODY_LONG_TERM")</f>
        <v>#NAME?</v>
      </c>
      <c r="M2" t="e" cm="1">
        <f t="array" aca="1" ref="M2" ca="1">_xll.BDP(E2,"RTG_SP_LT_LC_ISSUER_CREDIT")</f>
        <v>#NAME?</v>
      </c>
      <c r="N2" t="e" cm="1">
        <f t="array" aca="1" ref="N2" ca="1">_xll.BDP(E2,"RTG_FITCH_LT_ISSUER_DEFAULT")</f>
        <v>#NAME?</v>
      </c>
      <c r="O2" t="e" cm="1">
        <f t="array" aca="1" ref="O2" ca="1">_xll.BDP(E2,"BEST_ANALYST_RATING")</f>
        <v>#NAME?</v>
      </c>
      <c r="P2" t="e" cm="1">
        <f t="array" aca="1" ref="P2" ca="1">_xll.BDP(E2,"BB_ISSR_COMP_BSE_ON_RTGS")</f>
        <v>#NAME?</v>
      </c>
    </row>
    <row r="3" spans="1:16" x14ac:dyDescent="0.35">
      <c r="A3" t="s">
        <v>207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0.12262304398309939</v>
      </c>
      <c r="J3">
        <v>3.6786913194929813E-2</v>
      </c>
      <c r="K3" t="e" cm="1">
        <f t="array" aca="1" ref="K3" ca="1">_xll.BDP(E3,"BB_1YR_DEFAULT_PROB")</f>
        <v>#NAME?</v>
      </c>
      <c r="L3" t="e" cm="1">
        <f t="array" aca="1" ref="L3" ca="1">_xll.BDP(E3,"RTG_MOODY_LONG_TERM")</f>
        <v>#NAME?</v>
      </c>
      <c r="M3" t="e" cm="1">
        <f t="array" aca="1" ref="M3" ca="1">_xll.BDP(E3,"RTG_SP_LT_LC_ISSUER_CREDIT")</f>
        <v>#NAME?</v>
      </c>
      <c r="N3" t="e" cm="1">
        <f t="array" aca="1" ref="N3" ca="1">_xll.BDP(E3,"RTG_FITCH_LT_ISSUER_DEFAULT")</f>
        <v>#NAME?</v>
      </c>
      <c r="O3" t="e" cm="1">
        <f t="array" aca="1" ref="O3" ca="1">_xll.BDP(E3,"BEST_ANALYST_RATING")</f>
        <v>#NAME?</v>
      </c>
      <c r="P3" t="e" cm="1">
        <f t="array" aca="1" ref="P3" ca="1">_xll.BDP(E3,"BB_ISSR_COMP_BSE_ON_RTGS")</f>
        <v>#NAME?</v>
      </c>
    </row>
    <row r="4" spans="1:16" x14ac:dyDescent="0.35">
      <c r="A4" t="s">
        <v>207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0.1001678955449876</v>
      </c>
      <c r="J4">
        <v>3.005036866349628E-2</v>
      </c>
      <c r="K4" t="e" cm="1">
        <f t="array" aca="1" ref="K4" ca="1">_xll.BDP(E4,"BB_1YR_DEFAULT_PROB")</f>
        <v>#NAME?</v>
      </c>
      <c r="L4" t="e" cm="1">
        <f t="array" aca="1" ref="L4" ca="1">_xll.BDP(E4,"RTG_MOODY_LONG_TERM")</f>
        <v>#NAME?</v>
      </c>
      <c r="M4" t="e" cm="1">
        <f t="array" aca="1" ref="M4" ca="1">_xll.BDP(E4,"RTG_SP_LT_LC_ISSUER_CREDIT")</f>
        <v>#NAME?</v>
      </c>
      <c r="N4" t="e" cm="1">
        <f t="array" aca="1" ref="N4" ca="1">_xll.BDP(E4,"RTG_FITCH_LT_ISSUER_DEFAULT")</f>
        <v>#NAME?</v>
      </c>
      <c r="O4" t="e" cm="1">
        <f t="array" aca="1" ref="O4" ca="1">_xll.BDP(E4,"BEST_ANALYST_RATING")</f>
        <v>#NAME?</v>
      </c>
      <c r="P4" t="e" cm="1">
        <f t="array" aca="1" ref="P4" ca="1">_xll.BDP(E4,"BB_ISSR_COMP_BSE_ON_RTGS")</f>
        <v>#NAME?</v>
      </c>
    </row>
    <row r="5" spans="1:16" x14ac:dyDescent="0.35">
      <c r="A5" t="s">
        <v>207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8.151137715956687E-2</v>
      </c>
      <c r="J5">
        <v>2.445341314787006E-2</v>
      </c>
      <c r="K5" t="e" cm="1">
        <f t="array" aca="1" ref="K5" ca="1">_xll.BDP(E5,"BB_1YR_DEFAULT_PROB")</f>
        <v>#NAME?</v>
      </c>
      <c r="L5" t="e" cm="1">
        <f t="array" aca="1" ref="L5" ca="1">_xll.BDP(E5,"RTG_MOODY_LONG_TERM")</f>
        <v>#NAME?</v>
      </c>
      <c r="M5" t="e" cm="1">
        <f t="array" aca="1" ref="M5" ca="1">_xll.BDP(E5,"RTG_SP_LT_LC_ISSUER_CREDIT")</f>
        <v>#NAME?</v>
      </c>
      <c r="N5" t="e" cm="1">
        <f t="array" aca="1" ref="N5" ca="1">_xll.BDP(E5,"RTG_FITCH_LT_ISSUER_DEFAULT")</f>
        <v>#NAME?</v>
      </c>
      <c r="O5" t="e" cm="1">
        <f t="array" aca="1" ref="O5" ca="1">_xll.BDP(E5,"BEST_ANALYST_RATING")</f>
        <v>#NAME?</v>
      </c>
      <c r="P5" t="e" cm="1">
        <f t="array" aca="1" ref="P5" ca="1">_xll.BDP(E5,"BB_ISSR_COMP_BSE_ON_RTGS")</f>
        <v>#NAME?</v>
      </c>
    </row>
    <row r="6" spans="1:16" x14ac:dyDescent="0.35">
      <c r="A6" t="s">
        <v>207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5.9814031992481503E-2</v>
      </c>
      <c r="J6">
        <v>1.794420959774445E-2</v>
      </c>
      <c r="K6" t="e" cm="1">
        <f t="array" aca="1" ref="K6" ca="1">_xll.BDP(E6,"BB_1YR_DEFAULT_PROB")</f>
        <v>#NAME?</v>
      </c>
      <c r="L6" t="e" cm="1">
        <f t="array" aca="1" ref="L6" ca="1">_xll.BDP(E6,"RTG_MOODY_LONG_TERM")</f>
        <v>#NAME?</v>
      </c>
      <c r="M6" t="e" cm="1">
        <f t="array" aca="1" ref="M6" ca="1">_xll.BDP(E6,"RTG_SP_LT_LC_ISSUER_CREDIT")</f>
        <v>#NAME?</v>
      </c>
      <c r="N6" t="e" cm="1">
        <f t="array" aca="1" ref="N6" ca="1">_xll.BDP(E6,"RTG_FITCH_LT_ISSUER_DEFAULT")</f>
        <v>#NAME?</v>
      </c>
      <c r="O6" t="e" cm="1">
        <f t="array" aca="1" ref="O6" ca="1">_xll.BDP(E6,"BEST_ANALYST_RATING")</f>
        <v>#NAME?</v>
      </c>
      <c r="P6" t="e" cm="1">
        <f t="array" aca="1" ref="P6" ca="1">_xll.BDP(E6,"BB_ISSR_COMP_BSE_ON_RTGS")</f>
        <v>#NAME?</v>
      </c>
    </row>
    <row r="7" spans="1:16" x14ac:dyDescent="0.35">
      <c r="A7" t="s">
        <v>207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5.5740425017455977E-2</v>
      </c>
      <c r="J7">
        <v>1.672212750523679E-2</v>
      </c>
      <c r="K7" t="e" cm="1">
        <f t="array" aca="1" ref="K7" ca="1">_xll.BDP(E7,"BB_1YR_DEFAULT_PROB")</f>
        <v>#NAME?</v>
      </c>
      <c r="L7" t="e" cm="1">
        <f t="array" aca="1" ref="L7" ca="1">_xll.BDP(E7,"RTG_MOODY_LONG_TERM")</f>
        <v>#NAME?</v>
      </c>
      <c r="M7" t="e" cm="1">
        <f t="array" aca="1" ref="M7" ca="1">_xll.BDP(E7,"RTG_SP_LT_LC_ISSUER_CREDIT")</f>
        <v>#NAME?</v>
      </c>
      <c r="N7" t="e" cm="1">
        <f t="array" aca="1" ref="N7" ca="1">_xll.BDP(E7,"RTG_FITCH_LT_ISSUER_DEFAULT")</f>
        <v>#NAME?</v>
      </c>
      <c r="O7" t="e" cm="1">
        <f t="array" aca="1" ref="O7" ca="1">_xll.BDP(E7,"BEST_ANALYST_RATING")</f>
        <v>#NAME?</v>
      </c>
      <c r="P7" t="e" cm="1">
        <f t="array" aca="1" ref="P7" ca="1">_xll.BDP(E7,"BB_ISSR_COMP_BSE_ON_RTGS")</f>
        <v>#NAME?</v>
      </c>
    </row>
    <row r="8" spans="1:16" x14ac:dyDescent="0.35">
      <c r="A8" t="s">
        <v>207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5.5632814663747768E-2</v>
      </c>
      <c r="J8">
        <v>1.668984439912433E-2</v>
      </c>
      <c r="K8" t="e" cm="1">
        <f t="array" aca="1" ref="K8" ca="1">_xll.BDP(E8,"BB_1YR_DEFAULT_PROB")</f>
        <v>#NAME?</v>
      </c>
      <c r="L8" t="e" cm="1">
        <f t="array" aca="1" ref="L8" ca="1">_xll.BDP(E8,"RTG_MOODY_LONG_TERM")</f>
        <v>#NAME?</v>
      </c>
      <c r="M8" t="e" cm="1">
        <f t="array" aca="1" ref="M8" ca="1">_xll.BDP(E8,"RTG_SP_LT_LC_ISSUER_CREDIT")</f>
        <v>#NAME?</v>
      </c>
      <c r="N8" t="e" cm="1">
        <f t="array" aca="1" ref="N8" ca="1">_xll.BDP(E8,"RTG_FITCH_LT_ISSUER_DEFAULT")</f>
        <v>#NAME?</v>
      </c>
      <c r="O8" t="e" cm="1">
        <f t="array" aca="1" ref="O8" ca="1">_xll.BDP(E8,"BEST_ANALYST_RATING")</f>
        <v>#NAME?</v>
      </c>
      <c r="P8" t="e" cm="1">
        <f t="array" aca="1" ref="P8" ca="1">_xll.BDP(E8,"BB_ISSR_COMP_BSE_ON_RTGS")</f>
        <v>#NAME?</v>
      </c>
    </row>
    <row r="9" spans="1:16" x14ac:dyDescent="0.35">
      <c r="A9" t="s">
        <v>207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5.4472862928105582E-2</v>
      </c>
      <c r="J9">
        <v>1.6341858878431668E-2</v>
      </c>
      <c r="K9" t="e" cm="1">
        <f t="array" aca="1" ref="K9" ca="1">_xll.BDP(E9,"BB_1YR_DEFAULT_PROB")</f>
        <v>#NAME?</v>
      </c>
      <c r="L9" t="e" cm="1">
        <f t="array" aca="1" ref="L9" ca="1">_xll.BDP(E9,"RTG_MOODY_LONG_TERM")</f>
        <v>#NAME?</v>
      </c>
      <c r="M9" t="e" cm="1">
        <f t="array" aca="1" ref="M9" ca="1">_xll.BDP(E9,"RTG_SP_LT_LC_ISSUER_CREDIT")</f>
        <v>#NAME?</v>
      </c>
      <c r="N9" t="e" cm="1">
        <f t="array" aca="1" ref="N9" ca="1">_xll.BDP(E9,"RTG_FITCH_LT_ISSUER_DEFAULT")</f>
        <v>#NAME?</v>
      </c>
      <c r="O9" t="e" cm="1">
        <f t="array" aca="1" ref="O9" ca="1">_xll.BDP(E9,"BEST_ANALYST_RATING")</f>
        <v>#NAME?</v>
      </c>
      <c r="P9" t="e" cm="1">
        <f t="array" aca="1" ref="P9" ca="1">_xll.BDP(E9,"BB_ISSR_COMP_BSE_ON_RTGS")</f>
        <v>#NAME?</v>
      </c>
    </row>
    <row r="10" spans="1:16" x14ac:dyDescent="0.35">
      <c r="A10" t="s">
        <v>207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5.3245651911765467E-2</v>
      </c>
      <c r="J10">
        <v>1.597369557352964E-2</v>
      </c>
      <c r="K10" t="e" cm="1">
        <f t="array" aca="1" ref="K10" ca="1">_xll.BDP(E10,"BB_1YR_DEFAULT_PROB")</f>
        <v>#NAME?</v>
      </c>
      <c r="L10" t="e" cm="1">
        <f t="array" aca="1" ref="L10" ca="1">_xll.BDP(E10,"RTG_MOODY_LONG_TERM")</f>
        <v>#NAME?</v>
      </c>
      <c r="M10" t="e" cm="1">
        <f t="array" aca="1" ref="M10" ca="1">_xll.BDP(E10,"RTG_SP_LT_LC_ISSUER_CREDIT")</f>
        <v>#NAME?</v>
      </c>
      <c r="N10" t="e" cm="1">
        <f t="array" aca="1" ref="N10" ca="1">_xll.BDP(E10,"RTG_FITCH_LT_ISSUER_DEFAULT")</f>
        <v>#NAME?</v>
      </c>
      <c r="O10" t="e" cm="1">
        <f t="array" aca="1" ref="O10" ca="1">_xll.BDP(E10,"BEST_ANALYST_RATING")</f>
        <v>#NAME?</v>
      </c>
      <c r="P10" t="e" cm="1">
        <f t="array" aca="1" ref="P10" ca="1">_xll.BDP(E10,"BB_ISSR_COMP_BSE_ON_RTGS")</f>
        <v>#NAME?</v>
      </c>
    </row>
    <row r="11" spans="1:16" x14ac:dyDescent="0.35">
      <c r="A11" t="s">
        <v>207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5.0608360604373209E-2</v>
      </c>
      <c r="J11">
        <v>1.5182508181311959E-2</v>
      </c>
      <c r="K11" t="e" cm="1">
        <f t="array" aca="1" ref="K11" ca="1">_xll.BDP(E11,"BB_1YR_DEFAULT_PROB")</f>
        <v>#NAME?</v>
      </c>
      <c r="L11" t="e" cm="1">
        <f t="array" aca="1" ref="L11" ca="1">_xll.BDP(E11,"RTG_MOODY_LONG_TERM")</f>
        <v>#NAME?</v>
      </c>
      <c r="M11" t="e" cm="1">
        <f t="array" aca="1" ref="M11" ca="1">_xll.BDP(E11,"RTG_SP_LT_LC_ISSUER_CREDIT")</f>
        <v>#NAME?</v>
      </c>
      <c r="N11" t="e" cm="1">
        <f t="array" aca="1" ref="N11" ca="1">_xll.BDP(E11,"RTG_FITCH_LT_ISSUER_DEFAULT")</f>
        <v>#NAME?</v>
      </c>
      <c r="O11" t="e" cm="1">
        <f t="array" aca="1" ref="O11" ca="1">_xll.BDP(E11,"BEST_ANALYST_RATING")</f>
        <v>#NAME?</v>
      </c>
      <c r="P11" t="e" cm="1">
        <f t="array" aca="1" ref="P11" ca="1">_xll.BDP(E11,"BB_ISSR_COMP_BSE_ON_RTGS")</f>
        <v>#NAME?</v>
      </c>
    </row>
    <row r="12" spans="1:16" x14ac:dyDescent="0.35">
      <c r="A12" t="s">
        <v>207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5.0563482399864357E-2</v>
      </c>
      <c r="J12">
        <v>1.5169044719959311E-2</v>
      </c>
      <c r="K12" t="e" cm="1">
        <f t="array" aca="1" ref="K12" ca="1">_xll.BDP(E12,"BB_1YR_DEFAULT_PROB")</f>
        <v>#NAME?</v>
      </c>
      <c r="L12" t="e" cm="1">
        <f t="array" aca="1" ref="L12" ca="1">_xll.BDP(E12,"RTG_MOODY_LONG_TERM")</f>
        <v>#NAME?</v>
      </c>
      <c r="M12" t="e" cm="1">
        <f t="array" aca="1" ref="M12" ca="1">_xll.BDP(E12,"RTG_SP_LT_LC_ISSUER_CREDIT")</f>
        <v>#NAME?</v>
      </c>
      <c r="N12" t="e" cm="1">
        <f t="array" aca="1" ref="N12" ca="1">_xll.BDP(E12,"RTG_FITCH_LT_ISSUER_DEFAULT")</f>
        <v>#NAME?</v>
      </c>
      <c r="O12" t="e" cm="1">
        <f t="array" aca="1" ref="O12" ca="1">_xll.BDP(E12,"BEST_ANALYST_RATING")</f>
        <v>#NAME?</v>
      </c>
      <c r="P12" t="e" cm="1">
        <f t="array" aca="1" ref="P12" ca="1">_xll.BDP(E12,"BB_ISSR_COMP_BSE_ON_RTGS")</f>
        <v>#NAME?</v>
      </c>
    </row>
    <row r="13" spans="1:16" x14ac:dyDescent="0.35">
      <c r="A13" t="s">
        <v>207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4.848255668759676E-2</v>
      </c>
      <c r="J13">
        <v>1.4544767006279029E-2</v>
      </c>
      <c r="K13" t="e" cm="1">
        <f t="array" aca="1" ref="K13" ca="1">_xll.BDP(E13,"BB_1YR_DEFAULT_PROB")</f>
        <v>#NAME?</v>
      </c>
      <c r="L13" t="e" cm="1">
        <f t="array" aca="1" ref="L13" ca="1">_xll.BDP(E13,"RTG_MOODY_LONG_TERM")</f>
        <v>#NAME?</v>
      </c>
      <c r="M13" t="e" cm="1">
        <f t="array" aca="1" ref="M13" ca="1">_xll.BDP(E13,"RTG_SP_LT_LC_ISSUER_CREDIT")</f>
        <v>#NAME?</v>
      </c>
      <c r="N13" t="e" cm="1">
        <f t="array" aca="1" ref="N13" ca="1">_xll.BDP(E13,"RTG_FITCH_LT_ISSUER_DEFAULT")</f>
        <v>#NAME?</v>
      </c>
      <c r="O13" t="e" cm="1">
        <f t="array" aca="1" ref="O13" ca="1">_xll.BDP(E13,"BEST_ANALYST_RATING")</f>
        <v>#NAME?</v>
      </c>
      <c r="P13" t="e" cm="1">
        <f t="array" aca="1" ref="P13" ca="1">_xll.BDP(E13,"BB_ISSR_COMP_BSE_ON_RTGS")</f>
        <v>#NAME?</v>
      </c>
    </row>
    <row r="14" spans="1:16" x14ac:dyDescent="0.35">
      <c r="A14" t="s">
        <v>207</v>
      </c>
      <c r="B14" t="s">
        <v>11</v>
      </c>
      <c r="C14" t="s">
        <v>52</v>
      </c>
      <c r="D14" t="s">
        <v>53</v>
      </c>
      <c r="E14" t="s">
        <v>54</v>
      </c>
      <c r="F14" t="s">
        <v>15</v>
      </c>
      <c r="G14">
        <v>144776575.13999999</v>
      </c>
      <c r="H14">
        <v>8.7893566713948667E-3</v>
      </c>
      <c r="I14">
        <v>4.848255668759676E-2</v>
      </c>
      <c r="J14">
        <v>1.4544767006279029E-2</v>
      </c>
      <c r="K14" t="e" cm="1">
        <f t="array" aca="1" ref="K14" ca="1">_xll.BDP(E14,"BB_1YR_DEFAULT_PROB")</f>
        <v>#NAME?</v>
      </c>
      <c r="L14" t="e" cm="1">
        <f t="array" aca="1" ref="L14" ca="1">_xll.BDP(E14,"RTG_MOODY_LONG_TERM")</f>
        <v>#NAME?</v>
      </c>
      <c r="M14" t="e" cm="1">
        <f t="array" aca="1" ref="M14" ca="1">_xll.BDP(E14,"RTG_SP_LT_LC_ISSUER_CREDIT")</f>
        <v>#NAME?</v>
      </c>
      <c r="N14" t="e" cm="1">
        <f t="array" aca="1" ref="N14" ca="1">_xll.BDP(E14,"RTG_FITCH_LT_ISSUER_DEFAULT")</f>
        <v>#NAME?</v>
      </c>
      <c r="O14" t="e" cm="1">
        <f t="array" aca="1" ref="O14" ca="1">_xll.BDP(E14,"BEST_ANALYST_RATING")</f>
        <v>#NAME?</v>
      </c>
      <c r="P14" t="e" cm="1">
        <f t="array" aca="1" ref="P14" ca="1">_xll.BDP(E14,"BB_ISSR_COMP_BSE_ON_RTGS")</f>
        <v>#NAME?</v>
      </c>
    </row>
    <row r="15" spans="1:16" x14ac:dyDescent="0.35">
      <c r="A15" t="s">
        <v>207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4.3924896255339171E-2</v>
      </c>
      <c r="J15">
        <v>1.3177468876601751E-2</v>
      </c>
      <c r="K15" t="e" cm="1">
        <f t="array" aca="1" ref="K15" ca="1">_xll.BDP(E15,"BB_1YR_DEFAULT_PROB")</f>
        <v>#NAME?</v>
      </c>
      <c r="L15" t="e" cm="1">
        <f t="array" aca="1" ref="L15" ca="1">_xll.BDP(E15,"RTG_MOODY_LONG_TERM")</f>
        <v>#NAME?</v>
      </c>
      <c r="M15" t="e" cm="1">
        <f t="array" aca="1" ref="M15" ca="1">_xll.BDP(E15,"RTG_SP_LT_LC_ISSUER_CREDIT")</f>
        <v>#NAME?</v>
      </c>
      <c r="N15" t="e" cm="1">
        <f t="array" aca="1" ref="N15" ca="1">_xll.BDP(E15,"RTG_FITCH_LT_ISSUER_DEFAULT")</f>
        <v>#NAME?</v>
      </c>
      <c r="O15" t="e" cm="1">
        <f t="array" aca="1" ref="O15" ca="1">_xll.BDP(E15,"BEST_ANALYST_RATING")</f>
        <v>#NAME?</v>
      </c>
      <c r="P15" t="e" cm="1">
        <f t="array" aca="1" ref="P15" ca="1">_xll.BDP(E15,"BB_ISSR_COMP_BSE_ON_RTGS")</f>
        <v>#NAME?</v>
      </c>
    </row>
    <row r="16" spans="1:16" x14ac:dyDescent="0.35">
      <c r="A16" t="s">
        <v>207</v>
      </c>
      <c r="B16" t="s">
        <v>11</v>
      </c>
      <c r="C16" t="s">
        <v>65</v>
      </c>
      <c r="D16" t="s">
        <v>66</v>
      </c>
      <c r="E16" t="s">
        <v>67</v>
      </c>
      <c r="F16" t="s">
        <v>68</v>
      </c>
      <c r="G16">
        <v>122143598.7</v>
      </c>
      <c r="H16">
        <v>7.4153132374065239E-3</v>
      </c>
      <c r="I16">
        <v>4.0903260367040478E-2</v>
      </c>
      <c r="J16">
        <v>1.227097811011214E-2</v>
      </c>
      <c r="K16" t="e" cm="1">
        <f t="array" aca="1" ref="K16" ca="1">_xll.BDP(E16,"BB_1YR_DEFAULT_PROB")</f>
        <v>#NAME?</v>
      </c>
      <c r="L16" t="e" cm="1">
        <f t="array" aca="1" ref="L16" ca="1">_xll.BDP(E16,"RTG_MOODY_LONG_TERM")</f>
        <v>#NAME?</v>
      </c>
      <c r="M16" t="e" cm="1">
        <f t="array" aca="1" ref="M16" ca="1">_xll.BDP(E16,"RTG_SP_LT_LC_ISSUER_CREDIT")</f>
        <v>#NAME?</v>
      </c>
      <c r="N16" t="e" cm="1">
        <f t="array" aca="1" ref="N16" ca="1">_xll.BDP(E16,"RTG_FITCH_LT_ISSUER_DEFAULT")</f>
        <v>#NAME?</v>
      </c>
      <c r="O16" t="e" cm="1">
        <f t="array" aca="1" ref="O16" ca="1">_xll.BDP(E16,"BEST_ANALYST_RATING")</f>
        <v>#NAME?</v>
      </c>
      <c r="P16" t="e" cm="1">
        <f t="array" aca="1" ref="P16" ca="1">_xll.BDP(E16,"BB_ISSR_COMP_BSE_ON_RTGS")</f>
        <v>#NAME?</v>
      </c>
    </row>
    <row r="17" spans="1:16" x14ac:dyDescent="0.35">
      <c r="A17" t="s">
        <v>207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>
        <v>905800559.92999995</v>
      </c>
      <c r="H17">
        <v>2.9947624821845539E-2</v>
      </c>
      <c r="I17">
        <v>6.4720755936651275E-2</v>
      </c>
      <c r="J17">
        <v>4.5304529155655887E-2</v>
      </c>
      <c r="K17" t="e" cm="1">
        <f t="array" aca="1" ref="K17" ca="1">_xll.BDP(E17,"BB_1YR_DEFAULT_PROB")</f>
        <v>#NAME?</v>
      </c>
      <c r="L17" t="e" cm="1">
        <f t="array" aca="1" ref="L17" ca="1">_xll.BDP(E17,"RTG_MOODY_LONG_TERM")</f>
        <v>#NAME?</v>
      </c>
      <c r="M17" t="e" cm="1">
        <f t="array" aca="1" ref="M17" ca="1">_xll.BDP(E17,"RTG_SP_LT_LC_ISSUER_CREDIT")</f>
        <v>#NAME?</v>
      </c>
      <c r="N17" t="e" cm="1">
        <f t="array" aca="1" ref="N17" ca="1">_xll.BDP(E17,"RTG_FITCH_LT_ISSUER_DEFAULT")</f>
        <v>#NAME?</v>
      </c>
      <c r="O17" t="e" cm="1">
        <f t="array" aca="1" ref="O17" ca="1">_xll.BDP(E17,"BEST_ANALYST_RATING")</f>
        <v>#NAME?</v>
      </c>
      <c r="P17" t="e" cm="1">
        <f t="array" aca="1" ref="P17" ca="1">_xll.BDP(E17,"BB_ISSR_COMP_BSE_ON_RTGS")</f>
        <v>#NAME?</v>
      </c>
    </row>
    <row r="18" spans="1:16" x14ac:dyDescent="0.35">
      <c r="A18" t="s">
        <v>207</v>
      </c>
      <c r="B18" t="s">
        <v>128</v>
      </c>
      <c r="C18" t="s">
        <v>133</v>
      </c>
      <c r="D18" t="s">
        <v>134</v>
      </c>
      <c r="E18" t="s">
        <v>135</v>
      </c>
      <c r="F18" t="s">
        <v>132</v>
      </c>
      <c r="G18">
        <v>832865606.57000005</v>
      </c>
      <c r="H18">
        <v>2.753624563281868E-2</v>
      </c>
      <c r="I18">
        <v>5.9509448365778962E-2</v>
      </c>
      <c r="J18">
        <v>4.1656613856045271E-2</v>
      </c>
      <c r="K18" t="e" cm="1">
        <f t="array" aca="1" ref="K18" ca="1">_xll.BDP(E18,"BB_1YR_DEFAULT_PROB")</f>
        <v>#NAME?</v>
      </c>
      <c r="L18" t="e" cm="1">
        <f t="array" aca="1" ref="L18" ca="1">_xll.BDP(E18,"RTG_MOODY_LONG_TERM")</f>
        <v>#NAME?</v>
      </c>
      <c r="M18" t="e" cm="1">
        <f t="array" aca="1" ref="M18" ca="1">_xll.BDP(E18,"RTG_SP_LT_LC_ISSUER_CREDIT")</f>
        <v>#NAME?</v>
      </c>
      <c r="N18" t="e" cm="1">
        <f t="array" aca="1" ref="N18" ca="1">_xll.BDP(E18,"RTG_FITCH_LT_ISSUER_DEFAULT")</f>
        <v>#NAME?</v>
      </c>
      <c r="O18" t="e" cm="1">
        <f t="array" aca="1" ref="O18" ca="1">_xll.BDP(E18,"BEST_ANALYST_RATING")</f>
        <v>#NAME?</v>
      </c>
      <c r="P18" t="e" cm="1">
        <f t="array" aca="1" ref="P18" ca="1">_xll.BDP(E18,"BB_ISSR_COMP_BSE_ON_RTGS")</f>
        <v>#NAME?</v>
      </c>
    </row>
    <row r="19" spans="1:16" x14ac:dyDescent="0.35">
      <c r="A19" t="s">
        <v>207</v>
      </c>
      <c r="B19" t="s">
        <v>128</v>
      </c>
      <c r="C19" t="s">
        <v>136</v>
      </c>
      <c r="D19" t="s">
        <v>137</v>
      </c>
      <c r="E19" t="s">
        <v>138</v>
      </c>
      <c r="F19" t="s">
        <v>132</v>
      </c>
      <c r="G19">
        <v>809126442.03999996</v>
      </c>
      <c r="H19">
        <v>2.6751380150969731E-2</v>
      </c>
      <c r="I19">
        <v>5.7813250834387639E-2</v>
      </c>
      <c r="J19">
        <v>4.0469275584071353E-2</v>
      </c>
      <c r="K19" t="e" cm="1">
        <f t="array" aca="1" ref="K19" ca="1">_xll.BDP(E19,"BB_1YR_DEFAULT_PROB")</f>
        <v>#NAME?</v>
      </c>
      <c r="L19" t="e" cm="1">
        <f t="array" aca="1" ref="L19" ca="1">_xll.BDP(E19,"RTG_MOODY_LONG_TERM")</f>
        <v>#NAME?</v>
      </c>
      <c r="M19" t="e" cm="1">
        <f t="array" aca="1" ref="M19" ca="1">_xll.BDP(E19,"RTG_SP_LT_LC_ISSUER_CREDIT")</f>
        <v>#NAME?</v>
      </c>
      <c r="N19" t="e" cm="1">
        <f t="array" aca="1" ref="N19" ca="1">_xll.BDP(E19,"RTG_FITCH_LT_ISSUER_DEFAULT")</f>
        <v>#NAME?</v>
      </c>
      <c r="O19" t="e" cm="1">
        <f t="array" aca="1" ref="O19" ca="1">_xll.BDP(E19,"BEST_ANALYST_RATING")</f>
        <v>#NAME?</v>
      </c>
      <c r="P19" t="e" cm="1">
        <f t="array" aca="1" ref="P19" ca="1">_xll.BDP(E19,"BB_ISSR_COMP_BSE_ON_RTGS")</f>
        <v>#NAME?</v>
      </c>
    </row>
    <row r="20" spans="1:16" x14ac:dyDescent="0.35">
      <c r="A20" t="s">
        <v>207</v>
      </c>
      <c r="B20" t="s">
        <v>128</v>
      </c>
      <c r="C20" t="s">
        <v>177</v>
      </c>
      <c r="D20" t="s">
        <v>178</v>
      </c>
      <c r="E20" t="s">
        <v>179</v>
      </c>
      <c r="F20" t="s">
        <v>132</v>
      </c>
      <c r="G20">
        <v>754039548.25</v>
      </c>
      <c r="H20">
        <v>2.4930094427817531E-2</v>
      </c>
      <c r="I20">
        <v>5.3877212852068063E-2</v>
      </c>
      <c r="J20">
        <v>3.771404899644764E-2</v>
      </c>
      <c r="K20" t="e" cm="1">
        <f t="array" aca="1" ref="K20" ca="1">_xll.BDP(E20,"BB_1YR_DEFAULT_PROB")</f>
        <v>#NAME?</v>
      </c>
      <c r="L20" t="e" cm="1">
        <f t="array" aca="1" ref="L20" ca="1">_xll.BDP(E20,"RTG_MOODY_LONG_TERM")</f>
        <v>#NAME?</v>
      </c>
      <c r="M20" t="e" cm="1">
        <f t="array" aca="1" ref="M20" ca="1">_xll.BDP(E20,"RTG_SP_LT_LC_ISSUER_CREDIT")</f>
        <v>#NAME?</v>
      </c>
      <c r="N20" t="e" cm="1">
        <f t="array" aca="1" ref="N20" ca="1">_xll.BDP(E20,"RTG_FITCH_LT_ISSUER_DEFAULT")</f>
        <v>#NAME?</v>
      </c>
      <c r="O20" t="e" cm="1">
        <f t="array" aca="1" ref="O20" ca="1">_xll.BDP(E20,"BEST_ANALYST_RATING")</f>
        <v>#NAME?</v>
      </c>
      <c r="P20" t="e" cm="1">
        <f t="array" aca="1" ref="P20" ca="1">_xll.BDP(E20,"BB_ISSR_COMP_BSE_ON_RTGS")</f>
        <v>#NAME?</v>
      </c>
    </row>
    <row r="21" spans="1:16" x14ac:dyDescent="0.35">
      <c r="A21" t="s">
        <v>207</v>
      </c>
      <c r="B21" t="s">
        <v>128</v>
      </c>
      <c r="C21" t="s">
        <v>139</v>
      </c>
      <c r="D21" t="s">
        <v>140</v>
      </c>
      <c r="E21" t="s">
        <v>141</v>
      </c>
      <c r="F21" t="s">
        <v>61</v>
      </c>
      <c r="G21">
        <v>713464004.85000002</v>
      </c>
      <c r="H21">
        <v>2.3588583719566691E-2</v>
      </c>
      <c r="I21">
        <v>5.0978031776720369E-2</v>
      </c>
      <c r="J21">
        <v>3.5684622243704257E-2</v>
      </c>
      <c r="K21" t="e" cm="1">
        <f t="array" aca="1" ref="K21" ca="1">_xll.BDP(E21,"BB_1YR_DEFAULT_PROB")</f>
        <v>#NAME?</v>
      </c>
      <c r="L21" t="e" cm="1">
        <f t="array" aca="1" ref="L21" ca="1">_xll.BDP(E21,"RTG_MOODY_LONG_TERM")</f>
        <v>#NAME?</v>
      </c>
      <c r="M21" t="e" cm="1">
        <f t="array" aca="1" ref="M21" ca="1">_xll.BDP(E21,"RTG_SP_LT_LC_ISSUER_CREDIT")</f>
        <v>#NAME?</v>
      </c>
      <c r="N21" t="e" cm="1">
        <f t="array" aca="1" ref="N21" ca="1">_xll.BDP(E21,"RTG_FITCH_LT_ISSUER_DEFAULT")</f>
        <v>#NAME?</v>
      </c>
      <c r="O21" t="e" cm="1">
        <f t="array" aca="1" ref="O21" ca="1">_xll.BDP(E21,"BEST_ANALYST_RATING")</f>
        <v>#NAME?</v>
      </c>
      <c r="P21" t="e" cm="1">
        <f t="array" aca="1" ref="P21" ca="1">_xll.BDP(E21,"BB_ISSR_COMP_BSE_ON_RTGS")</f>
        <v>#NAME?</v>
      </c>
    </row>
    <row r="22" spans="1:16" x14ac:dyDescent="0.35">
      <c r="A22" t="s">
        <v>207</v>
      </c>
      <c r="B22" t="s">
        <v>128</v>
      </c>
      <c r="C22" t="s">
        <v>180</v>
      </c>
      <c r="D22" t="s">
        <v>181</v>
      </c>
      <c r="E22" t="s">
        <v>182</v>
      </c>
      <c r="F22" t="s">
        <v>132</v>
      </c>
      <c r="G22">
        <v>591434812.02999997</v>
      </c>
      <c r="H22">
        <v>1.955404825386944E-2</v>
      </c>
      <c r="I22">
        <v>4.2258870015261393E-2</v>
      </c>
      <c r="J22">
        <v>2.9581209010682969E-2</v>
      </c>
      <c r="K22" t="e" cm="1">
        <f t="array" aca="1" ref="K22" ca="1">_xll.BDP(E22,"BB_1YR_DEFAULT_PROB")</f>
        <v>#NAME?</v>
      </c>
      <c r="L22" t="e" cm="1">
        <f t="array" aca="1" ref="L22" ca="1">_xll.BDP(E22,"RTG_MOODY_LONG_TERM")</f>
        <v>#NAME?</v>
      </c>
      <c r="M22" t="e" cm="1">
        <f t="array" aca="1" ref="M22" ca="1">_xll.BDP(E22,"RTG_SP_LT_LC_ISSUER_CREDIT")</f>
        <v>#NAME?</v>
      </c>
      <c r="N22" t="e" cm="1">
        <f t="array" aca="1" ref="N22" ca="1">_xll.BDP(E22,"RTG_FITCH_LT_ISSUER_DEFAULT")</f>
        <v>#NAME?</v>
      </c>
      <c r="O22" t="e" cm="1">
        <f t="array" aca="1" ref="O22" ca="1">_xll.BDP(E22,"BEST_ANALYST_RATING")</f>
        <v>#NAME?</v>
      </c>
      <c r="P22" t="e" cm="1">
        <f t="array" aca="1" ref="P22" ca="1">_xll.BDP(E22,"BB_ISSR_COMP_BSE_ON_RTGS")</f>
        <v>#NAME?</v>
      </c>
    </row>
    <row r="23" spans="1:16" x14ac:dyDescent="0.35">
      <c r="A23" t="s">
        <v>207</v>
      </c>
      <c r="B23" t="s">
        <v>128</v>
      </c>
      <c r="C23" t="s">
        <v>142</v>
      </c>
      <c r="D23" t="s">
        <v>143</v>
      </c>
      <c r="E23" t="s">
        <v>144</v>
      </c>
      <c r="F23" t="s">
        <v>30</v>
      </c>
      <c r="G23">
        <v>556682073.77999997</v>
      </c>
      <c r="H23">
        <v>1.8405051429752631E-2</v>
      </c>
      <c r="I23">
        <v>3.9775736762857138E-2</v>
      </c>
      <c r="J23">
        <v>2.7843015733999991E-2</v>
      </c>
      <c r="K23" t="e" cm="1">
        <f t="array" aca="1" ref="K23" ca="1">_xll.BDP(E23,"BB_1YR_DEFAULT_PROB")</f>
        <v>#NAME?</v>
      </c>
      <c r="L23" t="e" cm="1">
        <f t="array" aca="1" ref="L23" ca="1">_xll.BDP(E23,"RTG_MOODY_LONG_TERM")</f>
        <v>#NAME?</v>
      </c>
      <c r="M23" t="e" cm="1">
        <f t="array" aca="1" ref="M23" ca="1">_xll.BDP(E23,"RTG_SP_LT_LC_ISSUER_CREDIT")</f>
        <v>#NAME?</v>
      </c>
      <c r="N23" t="e" cm="1">
        <f t="array" aca="1" ref="N23" ca="1">_xll.BDP(E23,"RTG_FITCH_LT_ISSUER_DEFAULT")</f>
        <v>#NAME?</v>
      </c>
      <c r="O23" t="e" cm="1">
        <f t="array" aca="1" ref="O23" ca="1">_xll.BDP(E23,"BEST_ANALYST_RATING")</f>
        <v>#NAME?</v>
      </c>
      <c r="P23" t="e" cm="1">
        <f t="array" aca="1" ref="P23" ca="1">_xll.BDP(E23,"BB_ISSR_COMP_BSE_ON_RTGS")</f>
        <v>#NAME?</v>
      </c>
    </row>
    <row r="24" spans="1:16" x14ac:dyDescent="0.35">
      <c r="A24" t="s">
        <v>207</v>
      </c>
      <c r="B24" t="s">
        <v>128</v>
      </c>
      <c r="C24" t="s">
        <v>145</v>
      </c>
      <c r="D24" t="s">
        <v>146</v>
      </c>
      <c r="E24" t="s">
        <v>147</v>
      </c>
      <c r="F24" t="s">
        <v>19</v>
      </c>
      <c r="G24">
        <v>523010381.36000001</v>
      </c>
      <c r="H24">
        <v>1.7291796198613589E-2</v>
      </c>
      <c r="I24">
        <v>3.73698457935943E-2</v>
      </c>
      <c r="J24">
        <v>2.6158892055516011E-2</v>
      </c>
      <c r="K24" t="e" cm="1">
        <f t="array" aca="1" ref="K24" ca="1">_xll.BDP(E24,"BB_1YR_DEFAULT_PROB")</f>
        <v>#NAME?</v>
      </c>
      <c r="L24" t="e" cm="1">
        <f t="array" aca="1" ref="L24" ca="1">_xll.BDP(E24,"RTG_MOODY_LONG_TERM")</f>
        <v>#NAME?</v>
      </c>
      <c r="M24" t="e" cm="1">
        <f t="array" aca="1" ref="M24" ca="1">_xll.BDP(E24,"RTG_SP_LT_LC_ISSUER_CREDIT")</f>
        <v>#NAME?</v>
      </c>
      <c r="N24" t="e" cm="1">
        <f t="array" aca="1" ref="N24" ca="1">_xll.BDP(E24,"RTG_FITCH_LT_ISSUER_DEFAULT")</f>
        <v>#NAME?</v>
      </c>
      <c r="O24" t="e" cm="1">
        <f t="array" aca="1" ref="O24" ca="1">_xll.BDP(E24,"BEST_ANALYST_RATING")</f>
        <v>#NAME?</v>
      </c>
      <c r="P24" t="e" cm="1">
        <f t="array" aca="1" ref="P24" ca="1">_xll.BDP(E24,"BB_ISSR_COMP_BSE_ON_RTGS")</f>
        <v>#NAME?</v>
      </c>
    </row>
    <row r="25" spans="1:16" x14ac:dyDescent="0.35">
      <c r="A25" t="s">
        <v>207</v>
      </c>
      <c r="B25" t="s">
        <v>128</v>
      </c>
      <c r="C25" t="s">
        <v>183</v>
      </c>
      <c r="D25" t="s">
        <v>184</v>
      </c>
      <c r="E25" t="s">
        <v>185</v>
      </c>
      <c r="F25" t="s">
        <v>132</v>
      </c>
      <c r="G25">
        <v>513060947.72000003</v>
      </c>
      <c r="H25">
        <v>1.696284751054522E-2</v>
      </c>
      <c r="I25">
        <v>3.6658944415511568E-2</v>
      </c>
      <c r="J25">
        <v>2.56612610908581E-2</v>
      </c>
      <c r="K25" t="e" cm="1">
        <f t="array" aca="1" ref="K25" ca="1">_xll.BDP(E25,"BB_1YR_DEFAULT_PROB")</f>
        <v>#NAME?</v>
      </c>
      <c r="L25" t="e" cm="1">
        <f t="array" aca="1" ref="L25" ca="1">_xll.BDP(E25,"RTG_MOODY_LONG_TERM")</f>
        <v>#NAME?</v>
      </c>
      <c r="M25" t="e" cm="1">
        <f t="array" aca="1" ref="M25" ca="1">_xll.BDP(E25,"RTG_SP_LT_LC_ISSUER_CREDIT")</f>
        <v>#NAME?</v>
      </c>
      <c r="N25" t="e" cm="1">
        <f t="array" aca="1" ref="N25" ca="1">_xll.BDP(E25,"RTG_FITCH_LT_ISSUER_DEFAULT")</f>
        <v>#NAME?</v>
      </c>
      <c r="O25" t="e" cm="1">
        <f t="array" aca="1" ref="O25" ca="1">_xll.BDP(E25,"BEST_ANALYST_RATING")</f>
        <v>#NAME?</v>
      </c>
      <c r="P25" t="e" cm="1">
        <f t="array" aca="1" ref="P25" ca="1">_xll.BDP(E25,"BB_ISSR_COMP_BSE_ON_RTGS")</f>
        <v>#NAME?</v>
      </c>
    </row>
    <row r="26" spans="1:16" x14ac:dyDescent="0.35">
      <c r="A26" t="s">
        <v>207</v>
      </c>
      <c r="B26" t="s">
        <v>128</v>
      </c>
      <c r="C26" t="s">
        <v>148</v>
      </c>
      <c r="D26" t="s">
        <v>149</v>
      </c>
      <c r="E26" t="s">
        <v>150</v>
      </c>
      <c r="F26" t="s">
        <v>19</v>
      </c>
      <c r="G26">
        <v>507049236.01999998</v>
      </c>
      <c r="H26">
        <v>1.676408798831374E-2</v>
      </c>
      <c r="I26">
        <v>3.6229398947216343E-2</v>
      </c>
      <c r="J26">
        <v>2.5360579263051429E-2</v>
      </c>
      <c r="K26" t="e" cm="1">
        <f t="array" aca="1" ref="K26" ca="1">_xll.BDP(E26,"BB_1YR_DEFAULT_PROB")</f>
        <v>#NAME?</v>
      </c>
      <c r="L26" t="e" cm="1">
        <f t="array" aca="1" ref="L26" ca="1">_xll.BDP(E26,"RTG_MOODY_LONG_TERM")</f>
        <v>#NAME?</v>
      </c>
      <c r="M26" t="e" cm="1">
        <f t="array" aca="1" ref="M26" ca="1">_xll.BDP(E26,"RTG_SP_LT_LC_ISSUER_CREDIT")</f>
        <v>#NAME?</v>
      </c>
      <c r="N26" t="e" cm="1">
        <f t="array" aca="1" ref="N26" ca="1">_xll.BDP(E26,"RTG_FITCH_LT_ISSUER_DEFAULT")</f>
        <v>#NAME?</v>
      </c>
      <c r="O26" t="e" cm="1">
        <f t="array" aca="1" ref="O26" ca="1">_xll.BDP(E26,"BEST_ANALYST_RATING")</f>
        <v>#NAME?</v>
      </c>
      <c r="P26" t="e" cm="1">
        <f t="array" aca="1" ref="P26" ca="1">_xll.BDP(E26,"BB_ISSR_COMP_BSE_ON_RTGS")</f>
        <v>#NAME?</v>
      </c>
    </row>
    <row r="27" spans="1:16" x14ac:dyDescent="0.35">
      <c r="A27" t="s">
        <v>207</v>
      </c>
      <c r="B27" t="s">
        <v>128</v>
      </c>
      <c r="C27" t="s">
        <v>186</v>
      </c>
      <c r="D27" t="s">
        <v>187</v>
      </c>
      <c r="E27" t="s">
        <v>188</v>
      </c>
      <c r="F27" t="s">
        <v>19</v>
      </c>
      <c r="G27">
        <v>496399779.08999997</v>
      </c>
      <c r="H27">
        <v>1.6411995094133269E-2</v>
      </c>
      <c r="I27">
        <v>3.546847989581095E-2</v>
      </c>
      <c r="J27">
        <v>2.4827935927067661E-2</v>
      </c>
      <c r="K27" t="e" cm="1">
        <f t="array" aca="1" ref="K27" ca="1">_xll.BDP(E27,"BB_1YR_DEFAULT_PROB")</f>
        <v>#NAME?</v>
      </c>
      <c r="L27" t="e" cm="1">
        <f t="array" aca="1" ref="L27" ca="1">_xll.BDP(E27,"RTG_MOODY_LONG_TERM")</f>
        <v>#NAME?</v>
      </c>
      <c r="M27" t="e" cm="1">
        <f t="array" aca="1" ref="M27" ca="1">_xll.BDP(E27,"RTG_SP_LT_LC_ISSUER_CREDIT")</f>
        <v>#NAME?</v>
      </c>
      <c r="N27" t="e" cm="1">
        <f t="array" aca="1" ref="N27" ca="1">_xll.BDP(E27,"RTG_FITCH_LT_ISSUER_DEFAULT")</f>
        <v>#NAME?</v>
      </c>
      <c r="O27" t="e" cm="1">
        <f t="array" aca="1" ref="O27" ca="1">_xll.BDP(E27,"BEST_ANALYST_RATING")</f>
        <v>#NAME?</v>
      </c>
      <c r="P27" t="e" cm="1">
        <f t="array" aca="1" ref="P27" ca="1">_xll.BDP(E27,"BB_ISSR_COMP_BSE_ON_RTGS")</f>
        <v>#NAME?</v>
      </c>
    </row>
    <row r="28" spans="1:16" x14ac:dyDescent="0.35">
      <c r="A28" t="s">
        <v>207</v>
      </c>
      <c r="B28" t="s">
        <v>128</v>
      </c>
      <c r="C28" t="s">
        <v>151</v>
      </c>
      <c r="D28" t="s">
        <v>152</v>
      </c>
      <c r="E28" t="s">
        <v>153</v>
      </c>
      <c r="F28" t="s">
        <v>154</v>
      </c>
      <c r="G28">
        <v>425102643.92000002</v>
      </c>
      <c r="H28">
        <v>1.405476553456159E-2</v>
      </c>
      <c r="I28">
        <v>3.0374196795923479E-2</v>
      </c>
      <c r="J28">
        <v>2.126193775714643E-2</v>
      </c>
      <c r="K28" t="e" cm="1">
        <f t="array" aca="1" ref="K28" ca="1">_xll.BDP(E28,"BB_1YR_DEFAULT_PROB")</f>
        <v>#NAME?</v>
      </c>
      <c r="L28" t="e" cm="1">
        <f t="array" aca="1" ref="L28" ca="1">_xll.BDP(E28,"RTG_MOODY_LONG_TERM")</f>
        <v>#NAME?</v>
      </c>
      <c r="M28" t="e" cm="1">
        <f t="array" aca="1" ref="M28" ca="1">_xll.BDP(E28,"RTG_SP_LT_LC_ISSUER_CREDIT")</f>
        <v>#NAME?</v>
      </c>
      <c r="N28" t="e" cm="1">
        <f t="array" aca="1" ref="N28" ca="1">_xll.BDP(E28,"RTG_FITCH_LT_ISSUER_DEFAULT")</f>
        <v>#NAME?</v>
      </c>
      <c r="O28" t="e" cm="1">
        <f t="array" aca="1" ref="O28" ca="1">_xll.BDP(E28,"BEST_ANALYST_RATING")</f>
        <v>#NAME?</v>
      </c>
      <c r="P28" t="e" cm="1">
        <f t="array" aca="1" ref="P28" ca="1">_xll.BDP(E28,"BB_ISSR_COMP_BSE_ON_RTGS")</f>
        <v>#NAME?</v>
      </c>
    </row>
    <row r="29" spans="1:16" x14ac:dyDescent="0.35">
      <c r="A29" t="s">
        <v>207</v>
      </c>
      <c r="B29" t="s">
        <v>128</v>
      </c>
      <c r="C29" t="s">
        <v>155</v>
      </c>
      <c r="D29" t="s">
        <v>156</v>
      </c>
      <c r="E29" t="s">
        <v>157</v>
      </c>
      <c r="F29" t="s">
        <v>61</v>
      </c>
      <c r="G29">
        <v>416844685.43000001</v>
      </c>
      <c r="H29">
        <v>1.3781740485126859E-2</v>
      </c>
      <c r="I29">
        <v>2.9784153755977039E-2</v>
      </c>
      <c r="J29">
        <v>2.084890762918392E-2</v>
      </c>
      <c r="K29" t="e" cm="1">
        <f t="array" aca="1" ref="K29" ca="1">_xll.BDP(E29,"BB_1YR_DEFAULT_PROB")</f>
        <v>#NAME?</v>
      </c>
      <c r="L29" t="e" cm="1">
        <f t="array" aca="1" ref="L29" ca="1">_xll.BDP(E29,"RTG_MOODY_LONG_TERM")</f>
        <v>#NAME?</v>
      </c>
      <c r="M29" t="e" cm="1">
        <f t="array" aca="1" ref="M29" ca="1">_xll.BDP(E29,"RTG_SP_LT_LC_ISSUER_CREDIT")</f>
        <v>#NAME?</v>
      </c>
      <c r="N29" t="e" cm="1">
        <f t="array" aca="1" ref="N29" ca="1">_xll.BDP(E29,"RTG_FITCH_LT_ISSUER_DEFAULT")</f>
        <v>#NAME?</v>
      </c>
      <c r="O29" t="e" cm="1">
        <f t="array" aca="1" ref="O29" ca="1">_xll.BDP(E29,"BEST_ANALYST_RATING")</f>
        <v>#NAME?</v>
      </c>
      <c r="P29" t="e" cm="1">
        <f t="array" aca="1" ref="P29" ca="1">_xll.BDP(E29,"BB_ISSR_COMP_BSE_ON_RTGS")</f>
        <v>#NAME?</v>
      </c>
    </row>
    <row r="30" spans="1:16" x14ac:dyDescent="0.35">
      <c r="A30" t="s">
        <v>207</v>
      </c>
      <c r="B30" t="s">
        <v>128</v>
      </c>
      <c r="C30" t="s">
        <v>189</v>
      </c>
      <c r="D30" t="s">
        <v>190</v>
      </c>
      <c r="E30" t="s">
        <v>191</v>
      </c>
      <c r="F30" t="s">
        <v>19</v>
      </c>
      <c r="G30">
        <v>404146862.76999998</v>
      </c>
      <c r="H30">
        <v>1.336192441755301E-2</v>
      </c>
      <c r="I30">
        <v>2.8876876019950631E-2</v>
      </c>
      <c r="J30">
        <v>2.021381321396544E-2</v>
      </c>
      <c r="K30" t="e" cm="1">
        <f t="array" aca="1" ref="K30" ca="1">_xll.BDP(E30,"BB_1YR_DEFAULT_PROB")</f>
        <v>#NAME?</v>
      </c>
      <c r="L30" t="e" cm="1">
        <f t="array" aca="1" ref="L30" ca="1">_xll.BDP(E30,"RTG_MOODY_LONG_TERM")</f>
        <v>#NAME?</v>
      </c>
      <c r="M30" t="e" cm="1">
        <f t="array" aca="1" ref="M30" ca="1">_xll.BDP(E30,"RTG_SP_LT_LC_ISSUER_CREDIT")</f>
        <v>#NAME?</v>
      </c>
      <c r="N30" t="e" cm="1">
        <f t="array" aca="1" ref="N30" ca="1">_xll.BDP(E30,"RTG_FITCH_LT_ISSUER_DEFAULT")</f>
        <v>#NAME?</v>
      </c>
      <c r="O30" t="e" cm="1">
        <f t="array" aca="1" ref="O30" ca="1">_xll.BDP(E30,"BEST_ANALYST_RATING")</f>
        <v>#NAME?</v>
      </c>
      <c r="P30" t="e" cm="1">
        <f t="array" aca="1" ref="P30" ca="1">_xll.BDP(E30,"BB_ISSR_COMP_BSE_ON_RTGS")</f>
        <v>#NAME?</v>
      </c>
    </row>
    <row r="31" spans="1:16" x14ac:dyDescent="0.35">
      <c r="A31" t="s">
        <v>207</v>
      </c>
      <c r="B31" t="s">
        <v>128</v>
      </c>
      <c r="C31" t="s">
        <v>192</v>
      </c>
      <c r="D31" t="s">
        <v>193</v>
      </c>
      <c r="E31" t="s">
        <v>194</v>
      </c>
      <c r="F31" t="s">
        <v>132</v>
      </c>
      <c r="G31">
        <v>391065829.50999999</v>
      </c>
      <c r="H31">
        <v>1.2929438621360921E-2</v>
      </c>
      <c r="I31">
        <v>2.7942217334063851E-2</v>
      </c>
      <c r="J31">
        <v>1.95595521338447E-2</v>
      </c>
      <c r="K31" t="e" cm="1">
        <f t="array" aca="1" ref="K31" ca="1">_xll.BDP(E31,"BB_1YR_DEFAULT_PROB")</f>
        <v>#NAME?</v>
      </c>
      <c r="L31" t="e" cm="1">
        <f t="array" aca="1" ref="L31" ca="1">_xll.BDP(E31,"RTG_MOODY_LONG_TERM")</f>
        <v>#NAME?</v>
      </c>
      <c r="M31" t="e" cm="1">
        <f t="array" aca="1" ref="M31" ca="1">_xll.BDP(E31,"RTG_SP_LT_LC_ISSUER_CREDIT")</f>
        <v>#NAME?</v>
      </c>
      <c r="N31" t="e" cm="1">
        <f t="array" aca="1" ref="N31" ca="1">_xll.BDP(E31,"RTG_FITCH_LT_ISSUER_DEFAULT")</f>
        <v>#NAME?</v>
      </c>
      <c r="O31" t="e" cm="1">
        <f t="array" aca="1" ref="O31" ca="1">_xll.BDP(E31,"BEST_ANALYST_RATING")</f>
        <v>#NAME?</v>
      </c>
      <c r="P31" t="e" cm="1">
        <f t="array" aca="1" ref="P31" ca="1">_xll.BDP(E31,"BB_ISSR_COMP_BSE_ON_RTGS")</f>
        <v>#NAME?</v>
      </c>
    </row>
    <row r="32" spans="1:16" x14ac:dyDescent="0.35">
      <c r="A32" t="s">
        <v>207</v>
      </c>
      <c r="B32" t="s">
        <v>128</v>
      </c>
      <c r="C32" t="s">
        <v>195</v>
      </c>
      <c r="D32" t="s">
        <v>196</v>
      </c>
      <c r="E32" t="s">
        <v>197</v>
      </c>
      <c r="F32" t="s">
        <v>19</v>
      </c>
      <c r="G32">
        <v>388093478.51999998</v>
      </c>
      <c r="H32">
        <v>1.283116659965425E-2</v>
      </c>
      <c r="I32">
        <v>2.7729838570468561E-2</v>
      </c>
      <c r="J32">
        <v>1.9410886999327991E-2</v>
      </c>
      <c r="K32" t="e" cm="1">
        <f t="array" aca="1" ref="K32" ca="1">_xll.BDP(E32,"BB_1YR_DEFAULT_PROB")</f>
        <v>#NAME?</v>
      </c>
      <c r="L32" t="e" cm="1">
        <f t="array" aca="1" ref="L32" ca="1">_xll.BDP(E32,"RTG_MOODY_LONG_TERM")</f>
        <v>#NAME?</v>
      </c>
      <c r="M32" t="e" cm="1">
        <f t="array" aca="1" ref="M32" ca="1">_xll.BDP(E32,"RTG_SP_LT_LC_ISSUER_CREDIT")</f>
        <v>#NAME?</v>
      </c>
      <c r="N32" t="e" cm="1">
        <f t="array" aca="1" ref="N32" ca="1">_xll.BDP(E32,"RTG_FITCH_LT_ISSUER_DEFAULT")</f>
        <v>#NAME?</v>
      </c>
      <c r="O32" t="e" cm="1">
        <f t="array" aca="1" ref="O32" ca="1">_xll.BDP(E32,"BEST_ANALYST_RATING")</f>
        <v>#NAME?</v>
      </c>
      <c r="P32" t="e" cm="1">
        <f t="array" aca="1" ref="P32" ca="1">_xll.BDP(E32,"BB_ISSR_COMP_BSE_ON_RTGS")</f>
        <v>#NAME?</v>
      </c>
    </row>
    <row r="33" spans="1:16" x14ac:dyDescent="0.35">
      <c r="A33" t="s">
        <v>207</v>
      </c>
      <c r="B33" t="s">
        <v>128</v>
      </c>
      <c r="C33" t="s">
        <v>158</v>
      </c>
      <c r="D33" t="s">
        <v>159</v>
      </c>
      <c r="E33" t="s">
        <v>160</v>
      </c>
      <c r="F33" t="s">
        <v>38</v>
      </c>
      <c r="G33">
        <v>362944516.57999998</v>
      </c>
      <c r="H33">
        <v>1.199969032313682E-2</v>
      </c>
      <c r="I33">
        <v>2.593290898157026E-2</v>
      </c>
      <c r="J33">
        <v>1.8153036287099179E-2</v>
      </c>
      <c r="K33" t="e" cm="1">
        <f t="array" aca="1" ref="K33" ca="1">_xll.BDP(E33,"BB_1YR_DEFAULT_PROB")</f>
        <v>#NAME?</v>
      </c>
      <c r="L33" t="e" cm="1">
        <f t="array" aca="1" ref="L33" ca="1">_xll.BDP(E33,"RTG_MOODY_LONG_TERM")</f>
        <v>#NAME?</v>
      </c>
      <c r="M33" t="e" cm="1">
        <f t="array" aca="1" ref="M33" ca="1">_xll.BDP(E33,"RTG_SP_LT_LC_ISSUER_CREDIT")</f>
        <v>#NAME?</v>
      </c>
      <c r="N33" t="e" cm="1">
        <f t="array" aca="1" ref="N33" ca="1">_xll.BDP(E33,"RTG_FITCH_LT_ISSUER_DEFAULT")</f>
        <v>#NAME?</v>
      </c>
      <c r="O33" t="e" cm="1">
        <f t="array" aca="1" ref="O33" ca="1">_xll.BDP(E33,"BEST_ANALYST_RATING")</f>
        <v>#NAME?</v>
      </c>
      <c r="P33" t="e" cm="1">
        <f t="array" aca="1" ref="P33" ca="1">_xll.BDP(E33,"BB_ISSR_COMP_BSE_ON_RTGS")</f>
        <v>#NAME?</v>
      </c>
    </row>
    <row r="34" spans="1:16" x14ac:dyDescent="0.35">
      <c r="A34" t="s">
        <v>207</v>
      </c>
      <c r="B34" t="s">
        <v>128</v>
      </c>
      <c r="C34" t="s">
        <v>198</v>
      </c>
      <c r="D34" t="s">
        <v>199</v>
      </c>
      <c r="E34" t="s">
        <v>200</v>
      </c>
      <c r="F34" t="s">
        <v>61</v>
      </c>
      <c r="G34">
        <v>334489131.64999998</v>
      </c>
      <c r="H34">
        <v>1.1058896919221619E-2</v>
      </c>
      <c r="I34">
        <v>2.3899730703031419E-2</v>
      </c>
      <c r="J34">
        <v>1.672981149212199E-2</v>
      </c>
      <c r="K34" t="e" cm="1">
        <f t="array" aca="1" ref="K34" ca="1">_xll.BDP(E34,"BB_1YR_DEFAULT_PROB")</f>
        <v>#NAME?</v>
      </c>
      <c r="L34" t="e" cm="1">
        <f t="array" aca="1" ref="L34" ca="1">_xll.BDP(E34,"RTG_MOODY_LONG_TERM")</f>
        <v>#NAME?</v>
      </c>
      <c r="M34" t="e" cm="1">
        <f t="array" aca="1" ref="M34" ca="1">_xll.BDP(E34,"RTG_SP_LT_LC_ISSUER_CREDIT")</f>
        <v>#NAME?</v>
      </c>
      <c r="N34" t="e" cm="1">
        <f t="array" aca="1" ref="N34" ca="1">_xll.BDP(E34,"RTG_FITCH_LT_ISSUER_DEFAULT")</f>
        <v>#NAME?</v>
      </c>
      <c r="O34" t="e" cm="1">
        <f t="array" aca="1" ref="O34" ca="1">_xll.BDP(E34,"BEST_ANALYST_RATING")</f>
        <v>#NAME?</v>
      </c>
      <c r="P34" t="e" cm="1">
        <f t="array" aca="1" ref="P34" ca="1">_xll.BDP(E34,"BB_ISSR_COMP_BSE_ON_RTGS")</f>
        <v>#NAME?</v>
      </c>
    </row>
    <row r="35" spans="1:16" x14ac:dyDescent="0.35">
      <c r="A35" t="s">
        <v>207</v>
      </c>
      <c r="B35" t="s">
        <v>128</v>
      </c>
      <c r="C35" t="s">
        <v>208</v>
      </c>
      <c r="D35" t="s">
        <v>209</v>
      </c>
      <c r="E35" t="s">
        <v>210</v>
      </c>
      <c r="F35" t="s">
        <v>61</v>
      </c>
      <c r="G35">
        <v>329891514.31999999</v>
      </c>
      <c r="H35">
        <v>1.0906890257971719E-2</v>
      </c>
      <c r="I35">
        <v>2.357122431623028E-2</v>
      </c>
      <c r="J35">
        <v>1.6499857021361201E-2</v>
      </c>
      <c r="K35" t="e" cm="1">
        <f t="array" aca="1" ref="K35" ca="1">_xll.BDP(E35,"BB_1YR_DEFAULT_PROB")</f>
        <v>#NAME?</v>
      </c>
      <c r="L35" t="e" cm="1">
        <f t="array" aca="1" ref="L35" ca="1">_xll.BDP(E35,"RTG_MOODY_LONG_TERM")</f>
        <v>#NAME?</v>
      </c>
      <c r="M35" t="e" cm="1">
        <f t="array" aca="1" ref="M35" ca="1">_xll.BDP(E35,"RTG_SP_LT_LC_ISSUER_CREDIT")</f>
        <v>#NAME?</v>
      </c>
      <c r="N35" t="e" cm="1">
        <f t="array" aca="1" ref="N35" ca="1">_xll.BDP(E35,"RTG_FITCH_LT_ISSUER_DEFAULT")</f>
        <v>#NAME?</v>
      </c>
      <c r="O35" t="e" cm="1">
        <f t="array" aca="1" ref="O35" ca="1">_xll.BDP(E35,"BEST_ANALYST_RATING")</f>
        <v>#NAME?</v>
      </c>
      <c r="P35" t="e" cm="1">
        <f t="array" aca="1" ref="P35" ca="1">_xll.BDP(E35,"BB_ISSR_COMP_BSE_ON_RTGS")</f>
        <v>#NAME?</v>
      </c>
    </row>
    <row r="36" spans="1:16" x14ac:dyDescent="0.35">
      <c r="A36" t="s">
        <v>207</v>
      </c>
      <c r="B36" t="s">
        <v>128</v>
      </c>
      <c r="C36" t="s">
        <v>161</v>
      </c>
      <c r="D36" t="s">
        <v>162</v>
      </c>
      <c r="E36" t="s">
        <v>163</v>
      </c>
      <c r="F36" t="s">
        <v>34</v>
      </c>
      <c r="G36">
        <v>325529724.55000001</v>
      </c>
      <c r="H36">
        <v>1.076268053967146E-2</v>
      </c>
      <c r="I36">
        <v>2.3259568148593378E-2</v>
      </c>
      <c r="J36">
        <v>1.6281697704015361E-2</v>
      </c>
      <c r="K36" t="e" cm="1">
        <f t="array" aca="1" ref="K36" ca="1">_xll.BDP(E36,"BB_1YR_DEFAULT_PROB")</f>
        <v>#NAME?</v>
      </c>
      <c r="L36" t="e" cm="1">
        <f t="array" aca="1" ref="L36" ca="1">_xll.BDP(E36,"RTG_MOODY_LONG_TERM")</f>
        <v>#NAME?</v>
      </c>
      <c r="M36" t="e" cm="1">
        <f t="array" aca="1" ref="M36" ca="1">_xll.BDP(E36,"RTG_SP_LT_LC_ISSUER_CREDIT")</f>
        <v>#NAME?</v>
      </c>
      <c r="N36" t="e" cm="1">
        <f t="array" aca="1" ref="N36" ca="1">_xll.BDP(E36,"RTG_FITCH_LT_ISSUER_DEFAULT")</f>
        <v>#NAME?</v>
      </c>
      <c r="O36" t="e" cm="1">
        <f t="array" aca="1" ref="O36" ca="1">_xll.BDP(E36,"BEST_ANALYST_RATING")</f>
        <v>#NAME?</v>
      </c>
      <c r="P36" t="e" cm="1">
        <f t="array" aca="1" ref="P36" ca="1">_xll.BDP(E36,"BB_ISSR_COMP_BSE_ON_RTGS")</f>
        <v>#NAME?</v>
      </c>
    </row>
    <row r="37" spans="1:16" x14ac:dyDescent="0.35">
      <c r="A37" t="s">
        <v>207</v>
      </c>
      <c r="B37" t="s">
        <v>128</v>
      </c>
      <c r="C37" t="s">
        <v>164</v>
      </c>
      <c r="D37" t="s">
        <v>165</v>
      </c>
      <c r="E37" t="s">
        <v>166</v>
      </c>
      <c r="F37" t="s">
        <v>38</v>
      </c>
      <c r="G37">
        <v>319162528.54000002</v>
      </c>
      <c r="H37">
        <v>1.0552167976851479E-2</v>
      </c>
      <c r="I37">
        <v>2.2804622813832401E-2</v>
      </c>
      <c r="J37">
        <v>1.5963235969682681E-2</v>
      </c>
      <c r="K37" t="e" cm="1">
        <f t="array" aca="1" ref="K37" ca="1">_xll.BDP(E37,"BB_1YR_DEFAULT_PROB")</f>
        <v>#NAME?</v>
      </c>
      <c r="L37" t="e" cm="1">
        <f t="array" aca="1" ref="L37" ca="1">_xll.BDP(E37,"RTG_MOODY_LONG_TERM")</f>
        <v>#NAME?</v>
      </c>
      <c r="M37" t="e" cm="1">
        <f t="array" aca="1" ref="M37" ca="1">_xll.BDP(E37,"RTG_SP_LT_LC_ISSUER_CREDIT")</f>
        <v>#NAME?</v>
      </c>
      <c r="N37" t="e" cm="1">
        <f t="array" aca="1" ref="N37" ca="1">_xll.BDP(E37,"RTG_FITCH_LT_ISSUER_DEFAULT")</f>
        <v>#NAME?</v>
      </c>
      <c r="O37" t="e" cm="1">
        <f t="array" aca="1" ref="O37" ca="1">_xll.BDP(E37,"BEST_ANALYST_RATING")</f>
        <v>#NAME?</v>
      </c>
      <c r="P37" t="e" cm="1">
        <f t="array" aca="1" ref="P37" ca="1">_xll.BDP(E37,"BB_ISSR_COMP_BSE_ON_RTGS")</f>
        <v>#NAME?</v>
      </c>
    </row>
    <row r="38" spans="1:16" x14ac:dyDescent="0.35">
      <c r="A38" t="s">
        <v>207</v>
      </c>
      <c r="B38" t="s">
        <v>128</v>
      </c>
      <c r="C38" t="s">
        <v>16</v>
      </c>
      <c r="D38" t="s">
        <v>17</v>
      </c>
      <c r="E38" t="s">
        <v>18</v>
      </c>
      <c r="F38" t="s">
        <v>19</v>
      </c>
      <c r="G38">
        <v>314660903.13999999</v>
      </c>
      <c r="H38">
        <v>1.0403335005741249E-2</v>
      </c>
      <c r="I38">
        <v>2.2482975188825249E-2</v>
      </c>
      <c r="J38">
        <v>1.5738082632177679E-2</v>
      </c>
      <c r="K38" t="e" cm="1">
        <f t="array" aca="1" ref="K38" ca="1">_xll.BDP(E38,"BB_1YR_DEFAULT_PROB")</f>
        <v>#NAME?</v>
      </c>
      <c r="L38" t="e" cm="1">
        <f t="array" aca="1" ref="L38" ca="1">_xll.BDP(E38,"RTG_MOODY_LONG_TERM")</f>
        <v>#NAME?</v>
      </c>
      <c r="M38" t="e" cm="1">
        <f t="array" aca="1" ref="M38" ca="1">_xll.BDP(E38,"RTG_SP_LT_LC_ISSUER_CREDIT")</f>
        <v>#NAME?</v>
      </c>
      <c r="N38" t="e" cm="1">
        <f t="array" aca="1" ref="N38" ca="1">_xll.BDP(E38,"RTG_FITCH_LT_ISSUER_DEFAULT")</f>
        <v>#NAME?</v>
      </c>
      <c r="O38" t="e" cm="1">
        <f t="array" aca="1" ref="O38" ca="1">_xll.BDP(E38,"BEST_ANALYST_RATING")</f>
        <v>#NAME?</v>
      </c>
      <c r="P38" t="e" cm="1">
        <f t="array" aca="1" ref="P38" ca="1">_xll.BDP(E38,"BB_ISSR_COMP_BSE_ON_RTGS")</f>
        <v>#NAME?</v>
      </c>
    </row>
    <row r="39" spans="1:16" x14ac:dyDescent="0.35">
      <c r="A39" t="s">
        <v>207</v>
      </c>
      <c r="B39" t="s">
        <v>128</v>
      </c>
      <c r="C39" t="s">
        <v>16</v>
      </c>
      <c r="D39" t="s">
        <v>17</v>
      </c>
      <c r="E39" t="s">
        <v>18</v>
      </c>
      <c r="F39" t="s">
        <v>19</v>
      </c>
      <c r="G39">
        <v>314660903.13999999</v>
      </c>
      <c r="H39">
        <v>1.0403335005741249E-2</v>
      </c>
      <c r="I39">
        <v>2.2482975188825249E-2</v>
      </c>
      <c r="J39">
        <v>1.5738082632177679E-2</v>
      </c>
      <c r="K39" t="e" cm="1">
        <f t="array" aca="1" ref="K39" ca="1">_xll.BDP(E39,"BB_1YR_DEFAULT_PROB")</f>
        <v>#NAME?</v>
      </c>
      <c r="L39" t="e" cm="1">
        <f t="array" aca="1" ref="L39" ca="1">_xll.BDP(E39,"RTG_MOODY_LONG_TERM")</f>
        <v>#NAME?</v>
      </c>
      <c r="M39" t="e" cm="1">
        <f t="array" aca="1" ref="M39" ca="1">_xll.BDP(E39,"RTG_SP_LT_LC_ISSUER_CREDIT")</f>
        <v>#NAME?</v>
      </c>
      <c r="N39" t="e" cm="1">
        <f t="array" aca="1" ref="N39" ca="1">_xll.BDP(E39,"RTG_FITCH_LT_ISSUER_DEFAULT")</f>
        <v>#NAME?</v>
      </c>
      <c r="O39" t="e" cm="1">
        <f t="array" aca="1" ref="O39" ca="1">_xll.BDP(E39,"BEST_ANALYST_RATING")</f>
        <v>#NAME?</v>
      </c>
      <c r="P39" t="e" cm="1">
        <f t="array" aca="1" ref="P39" ca="1">_xll.BDP(E39,"BB_ISSR_COMP_BSE_ON_RTGS")</f>
        <v>#NAME?</v>
      </c>
    </row>
    <row r="40" spans="1:16" x14ac:dyDescent="0.35">
      <c r="A40" t="s">
        <v>207</v>
      </c>
      <c r="B40" t="s">
        <v>128</v>
      </c>
      <c r="C40" t="s">
        <v>167</v>
      </c>
      <c r="D40" t="s">
        <v>168</v>
      </c>
      <c r="E40" t="s">
        <v>169</v>
      </c>
      <c r="F40" t="s">
        <v>38</v>
      </c>
      <c r="G40">
        <v>309049197.52999997</v>
      </c>
      <c r="H40">
        <v>1.0217800505484469E-2</v>
      </c>
      <c r="I40">
        <v>2.2082010732365639E-2</v>
      </c>
      <c r="J40">
        <v>1.545740751265595E-2</v>
      </c>
      <c r="K40" t="e" cm="1">
        <f t="array" aca="1" ref="K40" ca="1">_xll.BDP(E40,"BB_1YR_DEFAULT_PROB")</f>
        <v>#NAME?</v>
      </c>
      <c r="L40" t="e" cm="1">
        <f t="array" aca="1" ref="L40" ca="1">_xll.BDP(E40,"RTG_MOODY_LONG_TERM")</f>
        <v>#NAME?</v>
      </c>
      <c r="M40" t="e" cm="1">
        <f t="array" aca="1" ref="M40" ca="1">_xll.BDP(E40,"RTG_SP_LT_LC_ISSUER_CREDIT")</f>
        <v>#NAME?</v>
      </c>
      <c r="N40" t="e" cm="1">
        <f t="array" aca="1" ref="N40" ca="1">_xll.BDP(E40,"RTG_FITCH_LT_ISSUER_DEFAULT")</f>
        <v>#NAME?</v>
      </c>
      <c r="O40" t="e" cm="1">
        <f t="array" aca="1" ref="O40" ca="1">_xll.BDP(E40,"BEST_ANALYST_RATING")</f>
        <v>#NAME?</v>
      </c>
      <c r="P40" t="e" cm="1">
        <f t="array" aca="1" ref="P40" ca="1">_xll.BDP(E40,"BB_ISSR_COMP_BSE_ON_RTGS")</f>
        <v>#NAME?</v>
      </c>
    </row>
    <row r="41" spans="1:16" x14ac:dyDescent="0.35">
      <c r="A41" t="s">
        <v>207</v>
      </c>
      <c r="B41" t="s">
        <v>128</v>
      </c>
      <c r="C41" t="s">
        <v>201</v>
      </c>
      <c r="D41" t="s">
        <v>202</v>
      </c>
      <c r="E41" t="s">
        <v>203</v>
      </c>
      <c r="F41" t="s">
        <v>38</v>
      </c>
      <c r="G41">
        <v>301539418.44</v>
      </c>
      <c r="H41">
        <v>9.969511801953929E-3</v>
      </c>
      <c r="I41">
        <v>2.1545426189229989E-2</v>
      </c>
      <c r="J41">
        <v>1.508179833246099E-2</v>
      </c>
      <c r="K41" t="e" cm="1">
        <f t="array" aca="1" ref="K41" ca="1">_xll.BDP(E41,"BB_1YR_DEFAULT_PROB")</f>
        <v>#NAME?</v>
      </c>
      <c r="L41" t="e" cm="1">
        <f t="array" aca="1" ref="L41" ca="1">_xll.BDP(E41,"RTG_MOODY_LONG_TERM")</f>
        <v>#NAME?</v>
      </c>
      <c r="M41" t="e" cm="1">
        <f t="array" aca="1" ref="M41" ca="1">_xll.BDP(E41,"RTG_SP_LT_LC_ISSUER_CREDIT")</f>
        <v>#NAME?</v>
      </c>
      <c r="N41" t="e" cm="1">
        <f t="array" aca="1" ref="N41" ca="1">_xll.BDP(E41,"RTG_FITCH_LT_ISSUER_DEFAULT")</f>
        <v>#NAME?</v>
      </c>
      <c r="O41" t="e" cm="1">
        <f t="array" aca="1" ref="O41" ca="1">_xll.BDP(E41,"BEST_ANALYST_RATING")</f>
        <v>#NAME?</v>
      </c>
      <c r="P41" t="e" cm="1">
        <f t="array" aca="1" ref="P41" ca="1">_xll.BDP(E41,"BB_ISSR_COMP_BSE_ON_RTGS")</f>
        <v>#NAME?</v>
      </c>
    </row>
    <row r="42" spans="1:16" x14ac:dyDescent="0.35">
      <c r="A42" t="s">
        <v>207</v>
      </c>
      <c r="B42" t="s">
        <v>128</v>
      </c>
      <c r="C42" t="s">
        <v>211</v>
      </c>
      <c r="D42" t="s">
        <v>212</v>
      </c>
      <c r="E42" t="s">
        <v>213</v>
      </c>
      <c r="F42" t="s">
        <v>38</v>
      </c>
      <c r="G42">
        <v>242588811.90000001</v>
      </c>
      <c r="H42">
        <v>8.0204838086210643E-3</v>
      </c>
      <c r="I42">
        <v>1.7333320360450471E-2</v>
      </c>
      <c r="J42">
        <v>1.2133324252315329E-2</v>
      </c>
      <c r="K42" t="e" cm="1">
        <f t="array" aca="1" ref="K42" ca="1">_xll.BDP(E42,"BB_1YR_DEFAULT_PROB")</f>
        <v>#NAME?</v>
      </c>
      <c r="L42" t="e" cm="1">
        <f t="array" aca="1" ref="L42" ca="1">_xll.BDP(E42,"RTG_MOODY_LONG_TERM")</f>
        <v>#NAME?</v>
      </c>
      <c r="M42" t="e" cm="1">
        <f t="array" aca="1" ref="M42" ca="1">_xll.BDP(E42,"RTG_SP_LT_LC_ISSUER_CREDIT")</f>
        <v>#NAME?</v>
      </c>
      <c r="N42" t="e" cm="1">
        <f t="array" aca="1" ref="N42" ca="1">_xll.BDP(E42,"RTG_FITCH_LT_ISSUER_DEFAULT")</f>
        <v>#NAME?</v>
      </c>
      <c r="O42" t="e" cm="1">
        <f t="array" aca="1" ref="O42" ca="1">_xll.BDP(E42,"BEST_ANALYST_RATING")</f>
        <v>#NAME?</v>
      </c>
      <c r="P42" t="e" cm="1">
        <f t="array" aca="1" ref="P42" ca="1">_xll.BDP(E42,"BB_ISSR_COMP_BSE_ON_RTGS")</f>
        <v>#NAME?</v>
      </c>
    </row>
    <row r="43" spans="1:16" x14ac:dyDescent="0.35">
      <c r="A43" t="s">
        <v>207</v>
      </c>
      <c r="B43" t="s">
        <v>128</v>
      </c>
      <c r="C43" t="s">
        <v>170</v>
      </c>
      <c r="D43" t="s">
        <v>171</v>
      </c>
      <c r="E43" t="s">
        <v>172</v>
      </c>
      <c r="F43" t="s">
        <v>23</v>
      </c>
      <c r="G43">
        <v>240190668.31</v>
      </c>
      <c r="H43">
        <v>7.9411962615833533E-3</v>
      </c>
      <c r="I43">
        <v>1.7161969543443439E-2</v>
      </c>
      <c r="J43">
        <v>1.201337868041041E-2</v>
      </c>
      <c r="K43" t="e" cm="1">
        <f t="array" aca="1" ref="K43" ca="1">_xll.BDP(E43,"BB_1YR_DEFAULT_PROB")</f>
        <v>#NAME?</v>
      </c>
      <c r="L43" t="e" cm="1">
        <f t="array" aca="1" ref="L43" ca="1">_xll.BDP(E43,"RTG_MOODY_LONG_TERM")</f>
        <v>#NAME?</v>
      </c>
      <c r="M43" t="e" cm="1">
        <f t="array" aca="1" ref="M43" ca="1">_xll.BDP(E43,"RTG_SP_LT_LC_ISSUER_CREDIT")</f>
        <v>#NAME?</v>
      </c>
      <c r="N43" t="e" cm="1">
        <f t="array" aca="1" ref="N43" ca="1">_xll.BDP(E43,"RTG_FITCH_LT_ISSUER_DEFAULT")</f>
        <v>#NAME?</v>
      </c>
      <c r="O43" t="e" cm="1">
        <f t="array" aca="1" ref="O43" ca="1">_xll.BDP(E43,"BEST_ANALYST_RATING")</f>
        <v>#NAME?</v>
      </c>
      <c r="P43" t="e" cm="1">
        <f t="array" aca="1" ref="P43" ca="1">_xll.BDP(E43,"BB_ISSR_COMP_BSE_ON_RTGS")</f>
        <v>#NAME?</v>
      </c>
    </row>
    <row r="44" spans="1:16" x14ac:dyDescent="0.35">
      <c r="A44" t="s">
        <v>207</v>
      </c>
      <c r="B44" t="s">
        <v>128</v>
      </c>
      <c r="C44" t="s">
        <v>204</v>
      </c>
      <c r="D44" t="s">
        <v>205</v>
      </c>
      <c r="E44" t="s">
        <v>206</v>
      </c>
      <c r="F44" t="s">
        <v>30</v>
      </c>
      <c r="G44">
        <v>232306626.06999999</v>
      </c>
      <c r="H44">
        <v>7.6805336504878726E-3</v>
      </c>
      <c r="I44">
        <v>1.6598643358649821E-2</v>
      </c>
      <c r="J44">
        <v>1.161905035105487E-2</v>
      </c>
      <c r="K44" t="e" cm="1">
        <f t="array" aca="1" ref="K44" ca="1">_xll.BDP(E44,"BB_1YR_DEFAULT_PROB")</f>
        <v>#NAME?</v>
      </c>
      <c r="L44" t="e" cm="1">
        <f t="array" aca="1" ref="L44" ca="1">_xll.BDP(E44,"RTG_MOODY_LONG_TERM")</f>
        <v>#NAME?</v>
      </c>
      <c r="M44" t="e" cm="1">
        <f t="array" aca="1" ref="M44" ca="1">_xll.BDP(E44,"RTG_SP_LT_LC_ISSUER_CREDIT")</f>
        <v>#NAME?</v>
      </c>
      <c r="N44" t="e" cm="1">
        <f t="array" aca="1" ref="N44" ca="1">_xll.BDP(E44,"RTG_FITCH_LT_ISSUER_DEFAULT")</f>
        <v>#NAME?</v>
      </c>
      <c r="O44" t="e" cm="1">
        <f t="array" aca="1" ref="O44" ca="1">_xll.BDP(E44,"BEST_ANALYST_RATING")</f>
        <v>#NAME?</v>
      </c>
      <c r="P44" t="e" cm="1">
        <f t="array" aca="1" ref="P44" ca="1">_xll.BDP(E44,"BB_ISSR_COMP_BSE_ON_RTGS")</f>
        <v>#NAME?</v>
      </c>
    </row>
    <row r="45" spans="1:16" x14ac:dyDescent="0.35">
      <c r="A45" t="s">
        <v>207</v>
      </c>
      <c r="B45" t="s">
        <v>128</v>
      </c>
      <c r="C45" t="s">
        <v>173</v>
      </c>
      <c r="D45" t="s">
        <v>174</v>
      </c>
      <c r="E45" t="s">
        <v>175</v>
      </c>
      <c r="F45" t="s">
        <v>15</v>
      </c>
      <c r="G45">
        <v>216510068.71000001</v>
      </c>
      <c r="H45">
        <v>7.1582670564700893E-3</v>
      </c>
      <c r="I45">
        <v>1.546995656073607E-2</v>
      </c>
      <c r="J45">
        <v>1.0828969592515249E-2</v>
      </c>
      <c r="K45" t="e" cm="1">
        <f t="array" aca="1" ref="K45" ca="1">_xll.BDP(E45,"BB_1YR_DEFAULT_PROB")</f>
        <v>#NAME?</v>
      </c>
      <c r="L45" t="e" cm="1">
        <f t="array" aca="1" ref="L45" ca="1">_xll.BDP(E45,"RTG_MOODY_LONG_TERM")</f>
        <v>#NAME?</v>
      </c>
      <c r="M45" t="e" cm="1">
        <f t="array" aca="1" ref="M45" ca="1">_xll.BDP(E45,"RTG_SP_LT_LC_ISSUER_CREDIT")</f>
        <v>#NAME?</v>
      </c>
      <c r="N45" t="e" cm="1">
        <f t="array" aca="1" ref="N45" ca="1">_xll.BDP(E45,"RTG_FITCH_LT_ISSUER_DEFAULT")</f>
        <v>#NAME?</v>
      </c>
      <c r="O45" t="e" cm="1">
        <f t="array" aca="1" ref="O45" ca="1">_xll.BDP(E45,"BEST_ANALYST_RATING")</f>
        <v>#NAME?</v>
      </c>
      <c r="P45" t="e" cm="1">
        <f t="array" aca="1" ref="P45" ca="1">_xll.BDP(E45,"BB_ISSR_COMP_BSE_ON_RTGS")</f>
        <v>#NAME?</v>
      </c>
    </row>
    <row r="46" spans="1:16" x14ac:dyDescent="0.35">
      <c r="A46" t="s">
        <v>207</v>
      </c>
      <c r="B46" t="s">
        <v>128</v>
      </c>
      <c r="C46" t="s">
        <v>214</v>
      </c>
      <c r="D46" t="s">
        <v>215</v>
      </c>
      <c r="E46" t="s">
        <v>216</v>
      </c>
      <c r="F46" t="s">
        <v>132</v>
      </c>
      <c r="G46">
        <v>209813232.49000001</v>
      </c>
      <c r="H46">
        <v>6.9368559120285304E-3</v>
      </c>
      <c r="I46">
        <v>1.499145795771485E-2</v>
      </c>
      <c r="J46">
        <v>1.04940205704004E-2</v>
      </c>
      <c r="K46" t="e" cm="1">
        <f t="array" aca="1" ref="K46" ca="1">_xll.BDP(E46,"BB_1YR_DEFAULT_PROB")</f>
        <v>#NAME?</v>
      </c>
      <c r="L46" t="e" cm="1">
        <f t="array" aca="1" ref="L46" ca="1">_xll.BDP(E46,"RTG_MOODY_LONG_TERM")</f>
        <v>#NAME?</v>
      </c>
      <c r="M46" t="e" cm="1">
        <f t="array" aca="1" ref="M46" ca="1">_xll.BDP(E46,"RTG_SP_LT_LC_ISSUER_CREDIT")</f>
        <v>#NAME?</v>
      </c>
      <c r="N46" t="e" cm="1">
        <f t="array" aca="1" ref="N46" ca="1">_xll.BDP(E46,"RTG_FITCH_LT_ISSUER_DEFAULT")</f>
        <v>#NAME?</v>
      </c>
      <c r="O46" t="e" cm="1">
        <f t="array" aca="1" ref="O46" ca="1">_xll.BDP(E46,"BEST_ANALYST_RATING")</f>
        <v>#NAME?</v>
      </c>
      <c r="P46" t="e" cm="1">
        <f t="array" aca="1" ref="P46" ca="1">_xll.BDP(E46,"BB_ISSR_COMP_BSE_ON_RTGS")</f>
        <v>#NAME?</v>
      </c>
    </row>
    <row r="47" spans="1:16" x14ac:dyDescent="0.35">
      <c r="A47" t="s">
        <v>207</v>
      </c>
      <c r="B47" t="s">
        <v>128</v>
      </c>
      <c r="C47" t="s">
        <v>125</v>
      </c>
      <c r="D47" t="s">
        <v>126</v>
      </c>
      <c r="E47" t="s">
        <v>127</v>
      </c>
      <c r="F47" t="s">
        <v>34</v>
      </c>
      <c r="G47">
        <v>204472734.30000001</v>
      </c>
      <c r="H47">
        <v>6.7602880854771476E-3</v>
      </c>
      <c r="I47">
        <v>1.4609871662425051E-2</v>
      </c>
      <c r="J47">
        <v>1.022691016369753E-2</v>
      </c>
      <c r="K47" t="e" cm="1">
        <f t="array" aca="1" ref="K47" ca="1">_xll.BDP(E47,"BB_1YR_DEFAULT_PROB")</f>
        <v>#NAME?</v>
      </c>
      <c r="L47" t="e" cm="1">
        <f t="array" aca="1" ref="L47" ca="1">_xll.BDP(E47,"RTG_MOODY_LONG_TERM")</f>
        <v>#NAME?</v>
      </c>
      <c r="M47" t="e" cm="1">
        <f t="array" aca="1" ref="M47" ca="1">_xll.BDP(E47,"RTG_SP_LT_LC_ISSUER_CREDIT")</f>
        <v>#NAME?</v>
      </c>
      <c r="N47" t="e" cm="1">
        <f t="array" aca="1" ref="N47" ca="1">_xll.BDP(E47,"RTG_FITCH_LT_ISSUER_DEFAULT")</f>
        <v>#NAME?</v>
      </c>
      <c r="O47" t="e" cm="1">
        <f t="array" aca="1" ref="O47" ca="1">_xll.BDP(E47,"BEST_ANALYST_RATING")</f>
        <v>#NAME?</v>
      </c>
      <c r="P47" t="e" cm="1">
        <f t="array" aca="1" ref="P47" ca="1">_xll.BDP(E47,"BB_ISSR_COMP_BSE_ON_RTGS")</f>
        <v>#NAME?</v>
      </c>
    </row>
    <row r="48" spans="1:16" x14ac:dyDescent="0.35">
      <c r="A48" t="s">
        <v>207</v>
      </c>
      <c r="B48" t="s">
        <v>128</v>
      </c>
      <c r="C48" t="s">
        <v>217</v>
      </c>
      <c r="D48" t="s">
        <v>218</v>
      </c>
      <c r="E48" t="s">
        <v>219</v>
      </c>
      <c r="F48" t="s">
        <v>15</v>
      </c>
      <c r="G48">
        <v>171471740.63</v>
      </c>
      <c r="H48">
        <v>5.6692075309965496E-3</v>
      </c>
      <c r="I48">
        <v>1.225190308582348E-2</v>
      </c>
      <c r="J48">
        <v>8.5763321600764338E-3</v>
      </c>
      <c r="K48" t="e" cm="1">
        <f t="array" aca="1" ref="K48" ca="1">_xll.BDP(E48,"BB_1YR_DEFAULT_PROB")</f>
        <v>#NAME?</v>
      </c>
      <c r="L48" t="e" cm="1">
        <f t="array" aca="1" ref="L48" ca="1">_xll.BDP(E48,"RTG_MOODY_LONG_TERM")</f>
        <v>#NAME?</v>
      </c>
      <c r="M48" t="e" cm="1">
        <f t="array" aca="1" ref="M48" ca="1">_xll.BDP(E48,"RTG_SP_LT_LC_ISSUER_CREDIT")</f>
        <v>#NAME?</v>
      </c>
      <c r="N48" t="e" cm="1">
        <f t="array" aca="1" ref="N48" ca="1">_xll.BDP(E48,"RTG_FITCH_LT_ISSUER_DEFAULT")</f>
        <v>#NAME?</v>
      </c>
      <c r="O48" t="e" cm="1">
        <f t="array" aca="1" ref="O48" ca="1">_xll.BDP(E48,"BEST_ANALYST_RATING")</f>
        <v>#NAME?</v>
      </c>
      <c r="P48" t="e" cm="1">
        <f t="array" aca="1" ref="P48" ca="1">_xll.BDP(E48,"BB_ISSR_COMP_BSE_ON_RTGS")</f>
        <v>#NAME?</v>
      </c>
    </row>
    <row r="49" spans="1:16" x14ac:dyDescent="0.35">
      <c r="A49" t="s">
        <v>207</v>
      </c>
      <c r="B49" t="s">
        <v>128</v>
      </c>
      <c r="C49" t="s">
        <v>220</v>
      </c>
      <c r="D49" t="s">
        <v>221</v>
      </c>
      <c r="E49" t="s">
        <v>222</v>
      </c>
      <c r="F49" t="s">
        <v>23</v>
      </c>
      <c r="G49">
        <v>158188742.02000001</v>
      </c>
      <c r="H49">
        <v>5.2300443459880131E-3</v>
      </c>
      <c r="I49">
        <v>1.1302813684497511E-2</v>
      </c>
      <c r="J49">
        <v>7.9119695791482602E-3</v>
      </c>
      <c r="K49" t="e" cm="1">
        <f t="array" aca="1" ref="K49" ca="1">_xll.BDP(E49,"BB_1YR_DEFAULT_PROB")</f>
        <v>#NAME?</v>
      </c>
      <c r="L49" t="e" cm="1">
        <f t="array" aca="1" ref="L49" ca="1">_xll.BDP(E49,"RTG_MOODY_LONG_TERM")</f>
        <v>#NAME?</v>
      </c>
      <c r="M49" t="e" cm="1">
        <f t="array" aca="1" ref="M49" ca="1">_xll.BDP(E49,"RTG_SP_LT_LC_ISSUER_CREDIT")</f>
        <v>#NAME?</v>
      </c>
      <c r="N49" t="e" cm="1">
        <f t="array" aca="1" ref="N49" ca="1">_xll.BDP(E49,"RTG_FITCH_LT_ISSUER_DEFAULT")</f>
        <v>#NAME?</v>
      </c>
      <c r="O49" t="e" cm="1">
        <f t="array" aca="1" ref="O49" ca="1">_xll.BDP(E49,"BEST_ANALYST_RATING")</f>
        <v>#NAME?</v>
      </c>
      <c r="P49" t="e" cm="1">
        <f t="array" aca="1" ref="P49" ca="1">_xll.BDP(E49,"BB_ISSR_COMP_BSE_ON_RTGS")</f>
        <v>#NAME?</v>
      </c>
    </row>
    <row r="50" spans="1:16" x14ac:dyDescent="0.35">
      <c r="A50" t="s">
        <v>207</v>
      </c>
      <c r="B50" t="s">
        <v>128</v>
      </c>
      <c r="C50" t="s">
        <v>223</v>
      </c>
      <c r="D50" t="s">
        <v>224</v>
      </c>
      <c r="E50" t="s">
        <v>225</v>
      </c>
      <c r="F50" t="s">
        <v>226</v>
      </c>
      <c r="G50">
        <v>93757146.920000002</v>
      </c>
      <c r="H50">
        <v>3.0998036262461538E-3</v>
      </c>
      <c r="I50">
        <v>6.6990833209409949E-3</v>
      </c>
      <c r="J50">
        <v>4.689358324658696E-3</v>
      </c>
      <c r="K50" t="e" cm="1">
        <f t="array" aca="1" ref="K50" ca="1">_xll.BDP(E50,"BB_1YR_DEFAULT_PROB")</f>
        <v>#NAME?</v>
      </c>
      <c r="L50" t="e" cm="1">
        <f t="array" aca="1" ref="L50" ca="1">_xll.BDP(E50,"RTG_MOODY_LONG_TERM")</f>
        <v>#NAME?</v>
      </c>
      <c r="M50" t="e" cm="1">
        <f t="array" aca="1" ref="M50" ca="1">_xll.BDP(E50,"RTG_SP_LT_LC_ISSUER_CREDIT")</f>
        <v>#NAME?</v>
      </c>
      <c r="N50" t="e" cm="1">
        <f t="array" aca="1" ref="N50" ca="1">_xll.BDP(E50,"RTG_FITCH_LT_ISSUER_DEFAULT")</f>
        <v>#NAME?</v>
      </c>
      <c r="O50" t="e" cm="1">
        <f t="array" aca="1" ref="O50" ca="1">_xll.BDP(E50,"BEST_ANALYST_RATING")</f>
        <v>#NAME?</v>
      </c>
      <c r="P50" t="e" cm="1">
        <f t="array" aca="1" ref="P50" ca="1">_xll.BDP(E50,"BB_ISSR_COMP_BSE_ON_RTGS")</f>
        <v>#NAME?</v>
      </c>
    </row>
    <row r="51" spans="1:16" x14ac:dyDescent="0.35">
      <c r="A51" t="s">
        <v>207</v>
      </c>
      <c r="B51" t="s">
        <v>128</v>
      </c>
      <c r="C51" t="s">
        <v>227</v>
      </c>
      <c r="D51" t="s">
        <v>228</v>
      </c>
      <c r="E51" t="s">
        <v>229</v>
      </c>
      <c r="F51" t="s">
        <v>68</v>
      </c>
      <c r="G51">
        <v>86104352.560000002</v>
      </c>
      <c r="H51">
        <v>2.8467865444839978E-3</v>
      </c>
      <c r="I51">
        <v>6.152280130572888E-3</v>
      </c>
      <c r="J51">
        <v>4.3065960914010224E-3</v>
      </c>
      <c r="K51" t="e" cm="1">
        <f t="array" aca="1" ref="K51" ca="1">_xll.BDP(E51,"BB_1YR_DEFAULT_PROB")</f>
        <v>#NAME?</v>
      </c>
      <c r="L51" t="e" cm="1">
        <f t="array" aca="1" ref="L51" ca="1">_xll.BDP(E51,"RTG_MOODY_LONG_TERM")</f>
        <v>#NAME?</v>
      </c>
      <c r="M51" t="e" cm="1">
        <f t="array" aca="1" ref="M51" ca="1">_xll.BDP(E51,"RTG_SP_LT_LC_ISSUER_CREDIT")</f>
        <v>#NAME?</v>
      </c>
      <c r="N51" t="e" cm="1">
        <f t="array" aca="1" ref="N51" ca="1">_xll.BDP(E51,"RTG_FITCH_LT_ISSUER_DEFAULT")</f>
        <v>#NAME?</v>
      </c>
      <c r="O51" t="e" cm="1">
        <f t="array" aca="1" ref="O51" ca="1">_xll.BDP(E51,"BEST_ANALYST_RATING")</f>
        <v>#NAME?</v>
      </c>
      <c r="P51" t="e" cm="1">
        <f t="array" aca="1" ref="P51" ca="1">_xll.BDP(E51,"BB_ISSR_COMP_BSE_ON_RTGS")</f>
        <v>#NAME?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E9C3-520E-47EF-AB56-77B3FE284978}">
  <dimension ref="A1:P51"/>
  <sheetViews>
    <sheetView workbookViewId="0">
      <selection activeCell="F6" sqref="F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x14ac:dyDescent="0.35">
      <c r="A2" t="s">
        <v>207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0.13382678379697921</v>
      </c>
      <c r="J2">
        <v>4.0148035139093742E-2</v>
      </c>
      <c r="K2">
        <v>2.5975213003740172E-2</v>
      </c>
      <c r="L2" t="s">
        <v>236</v>
      </c>
      <c r="M2" t="s">
        <v>236</v>
      </c>
      <c r="N2" t="s">
        <v>236</v>
      </c>
      <c r="O2">
        <v>3.9000000953674316</v>
      </c>
      <c r="P2" t="s">
        <v>236</v>
      </c>
    </row>
    <row r="3" spans="1:16" x14ac:dyDescent="0.35">
      <c r="A3" t="s">
        <v>207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0.12262304398309939</v>
      </c>
      <c r="J3">
        <v>3.6786913194929813E-2</v>
      </c>
      <c r="K3">
        <v>1.153386182234406E-2</v>
      </c>
      <c r="L3" t="s">
        <v>237</v>
      </c>
      <c r="M3" t="s">
        <v>238</v>
      </c>
      <c r="N3" t="s">
        <v>239</v>
      </c>
      <c r="O3">
        <v>2.9200000762939453</v>
      </c>
      <c r="P3" t="s">
        <v>238</v>
      </c>
    </row>
    <row r="4" spans="1:16" x14ac:dyDescent="0.35">
      <c r="A4" t="s">
        <v>207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0.1001678955449876</v>
      </c>
      <c r="J4">
        <v>3.005036866349628E-2</v>
      </c>
      <c r="K4">
        <v>3.800220173744151E-5</v>
      </c>
      <c r="L4" t="s">
        <v>236</v>
      </c>
      <c r="M4" t="s">
        <v>236</v>
      </c>
      <c r="N4" t="s">
        <v>240</v>
      </c>
      <c r="O4">
        <v>4.1666665077209473</v>
      </c>
      <c r="P4" t="s">
        <v>241</v>
      </c>
    </row>
    <row r="5" spans="1:16" x14ac:dyDescent="0.35">
      <c r="A5" t="s">
        <v>207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8.151137715956687E-2</v>
      </c>
      <c r="J5">
        <v>2.445341314787006E-2</v>
      </c>
      <c r="K5">
        <v>3.0700331491351651E-2</v>
      </c>
      <c r="L5" t="s">
        <v>242</v>
      </c>
      <c r="M5" t="s">
        <v>243</v>
      </c>
      <c r="N5" t="s">
        <v>236</v>
      </c>
      <c r="O5">
        <v>4.5</v>
      </c>
      <c r="P5" t="s">
        <v>241</v>
      </c>
    </row>
    <row r="6" spans="1:16" x14ac:dyDescent="0.35">
      <c r="A6" t="s">
        <v>207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5.9814031992481503E-2</v>
      </c>
      <c r="J6">
        <v>1.794420959774445E-2</v>
      </c>
      <c r="K6">
        <v>9.9804423482151572E-3</v>
      </c>
      <c r="L6" t="s">
        <v>237</v>
      </c>
      <c r="M6" t="s">
        <v>244</v>
      </c>
      <c r="N6" t="s">
        <v>245</v>
      </c>
      <c r="O6">
        <v>2.736842155456543</v>
      </c>
      <c r="P6" t="s">
        <v>244</v>
      </c>
    </row>
    <row r="7" spans="1:16" x14ac:dyDescent="0.35">
      <c r="A7" t="s">
        <v>207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5.5740425017455977E-2</v>
      </c>
      <c r="J7">
        <v>1.672212750523679E-2</v>
      </c>
      <c r="K7">
        <v>6.0317823337625587E-3</v>
      </c>
      <c r="L7" t="s">
        <v>246</v>
      </c>
      <c r="M7" t="s">
        <v>245</v>
      </c>
      <c r="N7" t="s">
        <v>238</v>
      </c>
      <c r="O7">
        <v>4.6842103004455566</v>
      </c>
      <c r="P7" t="s">
        <v>245</v>
      </c>
    </row>
    <row r="8" spans="1:16" x14ac:dyDescent="0.35">
      <c r="A8" t="s">
        <v>207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5.5632814663747768E-2</v>
      </c>
      <c r="J8">
        <v>1.668984439912433E-2</v>
      </c>
      <c r="K8">
        <v>9.9043543533683387E-4</v>
      </c>
      <c r="L8" t="s">
        <v>247</v>
      </c>
      <c r="M8" t="s">
        <v>244</v>
      </c>
      <c r="N8" t="s">
        <v>245</v>
      </c>
      <c r="O8">
        <v>4.6521739959716797</v>
      </c>
      <c r="P8" t="s">
        <v>244</v>
      </c>
    </row>
    <row r="9" spans="1:16" x14ac:dyDescent="0.35">
      <c r="A9" t="s">
        <v>207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5.4472862928105582E-2</v>
      </c>
      <c r="J9">
        <v>1.6341858878431668E-2</v>
      </c>
      <c r="K9">
        <v>1.5501989482025191E-4</v>
      </c>
      <c r="L9" t="s">
        <v>248</v>
      </c>
      <c r="M9" t="s">
        <v>249</v>
      </c>
      <c r="N9" t="s">
        <v>249</v>
      </c>
      <c r="O9">
        <v>4.5238094329833984</v>
      </c>
      <c r="P9" t="s">
        <v>249</v>
      </c>
    </row>
    <row r="10" spans="1:16" x14ac:dyDescent="0.35">
      <c r="A10" t="s">
        <v>207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5.3245651911765467E-2</v>
      </c>
      <c r="J10">
        <v>1.597369557352964E-2</v>
      </c>
      <c r="K10">
        <v>3.0156229897536191E-2</v>
      </c>
      <c r="L10" t="s">
        <v>250</v>
      </c>
      <c r="M10" t="s">
        <v>251</v>
      </c>
      <c r="N10" t="s">
        <v>240</v>
      </c>
      <c r="O10">
        <v>3</v>
      </c>
      <c r="P10" t="s">
        <v>241</v>
      </c>
    </row>
    <row r="11" spans="1:16" x14ac:dyDescent="0.35">
      <c r="A11" t="s">
        <v>207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5.0608360604373209E-2</v>
      </c>
      <c r="J11">
        <v>1.5182508181311959E-2</v>
      </c>
      <c r="K11">
        <v>2.6665655572621905E-4</v>
      </c>
      <c r="L11" t="s">
        <v>246</v>
      </c>
      <c r="M11" t="s">
        <v>238</v>
      </c>
      <c r="N11" t="s">
        <v>238</v>
      </c>
      <c r="O11">
        <v>5</v>
      </c>
      <c r="P11" t="s">
        <v>238</v>
      </c>
    </row>
    <row r="12" spans="1:16" x14ac:dyDescent="0.35">
      <c r="A12" t="s">
        <v>207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5.0563482399864357E-2</v>
      </c>
      <c r="J12">
        <v>1.5169044719959311E-2</v>
      </c>
      <c r="K12">
        <v>1.4781562601060561E-3</v>
      </c>
      <c r="L12" t="s">
        <v>237</v>
      </c>
      <c r="M12" t="s">
        <v>245</v>
      </c>
      <c r="N12" t="s">
        <v>240</v>
      </c>
      <c r="O12">
        <v>4</v>
      </c>
      <c r="P12" t="s">
        <v>241</v>
      </c>
    </row>
    <row r="13" spans="1:16" x14ac:dyDescent="0.35">
      <c r="A13" t="s">
        <v>207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4.848255668759676E-2</v>
      </c>
      <c r="J13">
        <v>1.4544767006279029E-2</v>
      </c>
      <c r="K13">
        <v>8.8439015459851333E-6</v>
      </c>
      <c r="L13" t="s">
        <v>236</v>
      </c>
      <c r="M13" t="s">
        <v>252</v>
      </c>
      <c r="N13" t="s">
        <v>252</v>
      </c>
      <c r="O13">
        <v>4.0416665077209473</v>
      </c>
      <c r="P13" t="s">
        <v>252</v>
      </c>
    </row>
    <row r="14" spans="1:16" x14ac:dyDescent="0.35">
      <c r="A14" t="s">
        <v>207</v>
      </c>
      <c r="B14" t="s">
        <v>11</v>
      </c>
      <c r="C14" t="s">
        <v>52</v>
      </c>
      <c r="D14" t="s">
        <v>53</v>
      </c>
      <c r="E14" t="s">
        <v>54</v>
      </c>
      <c r="F14" t="s">
        <v>15</v>
      </c>
      <c r="G14">
        <v>144776575.13999999</v>
      </c>
      <c r="H14">
        <v>8.7893566713948667E-3</v>
      </c>
      <c r="I14">
        <v>4.848255668759676E-2</v>
      </c>
      <c r="J14">
        <v>1.4544767006279029E-2</v>
      </c>
      <c r="K14">
        <v>8.8439015459851333E-6</v>
      </c>
      <c r="L14" t="s">
        <v>236</v>
      </c>
      <c r="M14" t="s">
        <v>252</v>
      </c>
      <c r="N14" t="s">
        <v>252</v>
      </c>
      <c r="O14">
        <v>4.0416665077209473</v>
      </c>
      <c r="P14" t="s">
        <v>252</v>
      </c>
    </row>
    <row r="15" spans="1:16" x14ac:dyDescent="0.35">
      <c r="A15" t="s">
        <v>207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4.3924896255339171E-2</v>
      </c>
      <c r="J15">
        <v>1.3177468876601751E-2</v>
      </c>
      <c r="K15">
        <v>1.6746545597279283E-4</v>
      </c>
      <c r="L15" t="s">
        <v>247</v>
      </c>
      <c r="M15" t="s">
        <v>244</v>
      </c>
      <c r="N15" t="s">
        <v>236</v>
      </c>
      <c r="O15">
        <v>4.6923074722290039</v>
      </c>
      <c r="P15" t="s">
        <v>241</v>
      </c>
    </row>
    <row r="16" spans="1:16" x14ac:dyDescent="0.35">
      <c r="A16" t="s">
        <v>207</v>
      </c>
      <c r="B16" t="s">
        <v>11</v>
      </c>
      <c r="C16" t="s">
        <v>65</v>
      </c>
      <c r="D16" t="s">
        <v>66</v>
      </c>
      <c r="E16" t="s">
        <v>67</v>
      </c>
      <c r="F16" t="s">
        <v>68</v>
      </c>
      <c r="G16">
        <v>122143598.7</v>
      </c>
      <c r="H16">
        <v>7.4153132374065239E-3</v>
      </c>
      <c r="I16">
        <v>4.0903260367040478E-2</v>
      </c>
      <c r="J16">
        <v>1.227097811011214E-2</v>
      </c>
      <c r="K16">
        <v>1.2443996471715346E-2</v>
      </c>
      <c r="L16" t="s">
        <v>236</v>
      </c>
      <c r="M16" t="s">
        <v>245</v>
      </c>
      <c r="N16" t="s">
        <v>238</v>
      </c>
      <c r="O16">
        <v>4.1111111640930176</v>
      </c>
      <c r="P16" t="s">
        <v>245</v>
      </c>
    </row>
    <row r="17" spans="1:16" x14ac:dyDescent="0.35">
      <c r="A17" t="s">
        <v>207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>
        <v>905800559.92999995</v>
      </c>
      <c r="H17">
        <v>2.9947624821845539E-2</v>
      </c>
      <c r="I17">
        <v>6.4720755936651275E-2</v>
      </c>
      <c r="J17">
        <v>4.5304529155655887E-2</v>
      </c>
      <c r="K17">
        <v>6.708493977669594E-5</v>
      </c>
      <c r="L17" t="s">
        <v>236</v>
      </c>
      <c r="M17" t="s">
        <v>249</v>
      </c>
      <c r="N17" t="s">
        <v>261</v>
      </c>
      <c r="O17">
        <v>4.0882353782653809</v>
      </c>
      <c r="P17" t="s">
        <v>252</v>
      </c>
    </row>
    <row r="18" spans="1:16" x14ac:dyDescent="0.35">
      <c r="A18" t="s">
        <v>207</v>
      </c>
      <c r="B18" t="s">
        <v>128</v>
      </c>
      <c r="C18" t="s">
        <v>133</v>
      </c>
      <c r="D18" t="s">
        <v>134</v>
      </c>
      <c r="E18" t="s">
        <v>135</v>
      </c>
      <c r="F18" t="s">
        <v>132</v>
      </c>
      <c r="G18">
        <v>832865606.57000005</v>
      </c>
      <c r="H18">
        <v>2.753624563281868E-2</v>
      </c>
      <c r="I18">
        <v>5.9509448365778962E-2</v>
      </c>
      <c r="J18">
        <v>4.1656613856045271E-2</v>
      </c>
      <c r="K18">
        <v>1.0837951082087738E-4</v>
      </c>
      <c r="L18" t="s">
        <v>236</v>
      </c>
      <c r="M18" t="s">
        <v>262</v>
      </c>
      <c r="N18" t="s">
        <v>252</v>
      </c>
      <c r="O18">
        <v>3.9629628658294678</v>
      </c>
      <c r="P18" t="s">
        <v>249</v>
      </c>
    </row>
    <row r="19" spans="1:16" x14ac:dyDescent="0.35">
      <c r="A19" t="s">
        <v>207</v>
      </c>
      <c r="B19" t="s">
        <v>128</v>
      </c>
      <c r="C19" t="s">
        <v>136</v>
      </c>
      <c r="D19" t="s">
        <v>137</v>
      </c>
      <c r="E19" t="s">
        <v>138</v>
      </c>
      <c r="F19" t="s">
        <v>132</v>
      </c>
      <c r="G19">
        <v>809126442.03999996</v>
      </c>
      <c r="H19">
        <v>2.6751380150969731E-2</v>
      </c>
      <c r="I19">
        <v>5.7813250834387639E-2</v>
      </c>
      <c r="J19">
        <v>4.0469275584071353E-2</v>
      </c>
      <c r="K19">
        <v>5.7581771429116024E-5</v>
      </c>
      <c r="L19" t="s">
        <v>236</v>
      </c>
      <c r="M19" t="s">
        <v>262</v>
      </c>
      <c r="N19" t="s">
        <v>261</v>
      </c>
      <c r="O19">
        <v>4.6999998092651367</v>
      </c>
      <c r="P19" t="s">
        <v>252</v>
      </c>
    </row>
    <row r="20" spans="1:16" x14ac:dyDescent="0.35">
      <c r="A20" t="s">
        <v>207</v>
      </c>
      <c r="B20" t="s">
        <v>128</v>
      </c>
      <c r="C20" t="s">
        <v>177</v>
      </c>
      <c r="D20" t="s">
        <v>178</v>
      </c>
      <c r="E20" t="s">
        <v>179</v>
      </c>
      <c r="F20" t="s">
        <v>132</v>
      </c>
      <c r="G20">
        <v>754039548.25</v>
      </c>
      <c r="H20">
        <v>2.4930094427817531E-2</v>
      </c>
      <c r="I20">
        <v>5.3877212852068063E-2</v>
      </c>
      <c r="J20">
        <v>3.771404899644764E-2</v>
      </c>
      <c r="K20">
        <v>2.5183418984187078E-4</v>
      </c>
      <c r="L20" t="s">
        <v>236</v>
      </c>
      <c r="M20" t="s">
        <v>269</v>
      </c>
      <c r="N20" t="s">
        <v>249</v>
      </c>
      <c r="O20">
        <v>3.75</v>
      </c>
      <c r="P20" t="s">
        <v>262</v>
      </c>
    </row>
    <row r="21" spans="1:16" x14ac:dyDescent="0.35">
      <c r="A21" t="s">
        <v>207</v>
      </c>
      <c r="B21" t="s">
        <v>128</v>
      </c>
      <c r="C21" t="s">
        <v>139</v>
      </c>
      <c r="D21" t="s">
        <v>140</v>
      </c>
      <c r="E21" t="s">
        <v>141</v>
      </c>
      <c r="F21" t="s">
        <v>61</v>
      </c>
      <c r="G21">
        <v>713464004.85000002</v>
      </c>
      <c r="H21">
        <v>2.3588583719566691E-2</v>
      </c>
      <c r="I21">
        <v>5.0978031776720369E-2</v>
      </c>
      <c r="J21">
        <v>3.5684622243704257E-2</v>
      </c>
      <c r="K21">
        <v>1.4148314501311043E-3</v>
      </c>
      <c r="L21" t="s">
        <v>263</v>
      </c>
      <c r="M21" t="s">
        <v>264</v>
      </c>
      <c r="N21" t="s">
        <v>264</v>
      </c>
      <c r="O21">
        <v>4.529411792755127</v>
      </c>
      <c r="P21" t="s">
        <v>264</v>
      </c>
    </row>
    <row r="22" spans="1:16" x14ac:dyDescent="0.35">
      <c r="A22" t="s">
        <v>207</v>
      </c>
      <c r="B22" t="s">
        <v>128</v>
      </c>
      <c r="C22" t="s">
        <v>180</v>
      </c>
      <c r="D22" t="s">
        <v>181</v>
      </c>
      <c r="E22" t="s">
        <v>182</v>
      </c>
      <c r="F22" t="s">
        <v>132</v>
      </c>
      <c r="G22">
        <v>591434812.02999997</v>
      </c>
      <c r="H22">
        <v>1.955404825386944E-2</v>
      </c>
      <c r="I22">
        <v>4.2258870015261393E-2</v>
      </c>
      <c r="J22">
        <v>2.9581209010682969E-2</v>
      </c>
      <c r="K22">
        <v>2.0368479332188993E-4</v>
      </c>
      <c r="L22" t="s">
        <v>236</v>
      </c>
      <c r="M22" t="s">
        <v>269</v>
      </c>
      <c r="N22" t="s">
        <v>252</v>
      </c>
      <c r="O22">
        <v>4.1212120056152344</v>
      </c>
      <c r="P22" t="s">
        <v>249</v>
      </c>
    </row>
    <row r="23" spans="1:16" x14ac:dyDescent="0.35">
      <c r="A23" t="s">
        <v>207</v>
      </c>
      <c r="B23" t="s">
        <v>128</v>
      </c>
      <c r="C23" t="s">
        <v>142</v>
      </c>
      <c r="D23" t="s">
        <v>143</v>
      </c>
      <c r="E23" t="s">
        <v>144</v>
      </c>
      <c r="F23" t="s">
        <v>30</v>
      </c>
      <c r="G23">
        <v>556682073.77999997</v>
      </c>
      <c r="H23">
        <v>1.8405051429752631E-2</v>
      </c>
      <c r="I23">
        <v>3.9775736762857138E-2</v>
      </c>
      <c r="J23">
        <v>2.7843015733999991E-2</v>
      </c>
      <c r="K23">
        <v>3.3677869262227489E-6</v>
      </c>
      <c r="L23" t="s">
        <v>265</v>
      </c>
      <c r="M23" t="s">
        <v>266</v>
      </c>
      <c r="N23" t="s">
        <v>261</v>
      </c>
      <c r="O23">
        <v>4.8780488967895508</v>
      </c>
      <c r="P23" t="s">
        <v>261</v>
      </c>
    </row>
    <row r="24" spans="1:16" x14ac:dyDescent="0.35">
      <c r="A24" t="s">
        <v>207</v>
      </c>
      <c r="B24" t="s">
        <v>128</v>
      </c>
      <c r="C24" t="s">
        <v>145</v>
      </c>
      <c r="D24" t="s">
        <v>146</v>
      </c>
      <c r="E24" t="s">
        <v>147</v>
      </c>
      <c r="F24" t="s">
        <v>19</v>
      </c>
      <c r="G24">
        <v>523010381.36000001</v>
      </c>
      <c r="H24">
        <v>1.7291796198613589E-2</v>
      </c>
      <c r="I24">
        <v>3.73698457935943E-2</v>
      </c>
      <c r="J24">
        <v>2.6158892055516011E-2</v>
      </c>
      <c r="K24">
        <v>8.743137082189989E-5</v>
      </c>
      <c r="L24" t="s">
        <v>263</v>
      </c>
      <c r="M24" t="s">
        <v>264</v>
      </c>
      <c r="N24" t="s">
        <v>267</v>
      </c>
      <c r="O24">
        <v>4.1999998092651367</v>
      </c>
      <c r="P24" t="s">
        <v>264</v>
      </c>
    </row>
    <row r="25" spans="1:16" x14ac:dyDescent="0.35">
      <c r="A25" t="s">
        <v>207</v>
      </c>
      <c r="B25" t="s">
        <v>128</v>
      </c>
      <c r="C25" t="s">
        <v>183</v>
      </c>
      <c r="D25" t="s">
        <v>184</v>
      </c>
      <c r="E25" t="s">
        <v>185</v>
      </c>
      <c r="F25" t="s">
        <v>132</v>
      </c>
      <c r="G25">
        <v>513060947.72000003</v>
      </c>
      <c r="H25">
        <v>1.696284751054522E-2</v>
      </c>
      <c r="I25">
        <v>3.6658944415511568E-2</v>
      </c>
      <c r="J25">
        <v>2.56612610908581E-2</v>
      </c>
      <c r="K25">
        <v>2.7617801596646618E-4</v>
      </c>
      <c r="L25" t="s">
        <v>236</v>
      </c>
      <c r="M25" t="s">
        <v>269</v>
      </c>
      <c r="N25" t="s">
        <v>249</v>
      </c>
      <c r="O25">
        <v>4.6923074722290039</v>
      </c>
      <c r="P25" t="s">
        <v>262</v>
      </c>
    </row>
    <row r="26" spans="1:16" x14ac:dyDescent="0.35">
      <c r="A26" t="s">
        <v>207</v>
      </c>
      <c r="B26" t="s">
        <v>128</v>
      </c>
      <c r="C26" t="s">
        <v>148</v>
      </c>
      <c r="D26" t="s">
        <v>149</v>
      </c>
      <c r="E26" t="s">
        <v>150</v>
      </c>
      <c r="F26" t="s">
        <v>19</v>
      </c>
      <c r="G26">
        <v>507049236.01999998</v>
      </c>
      <c r="H26">
        <v>1.676408798831374E-2</v>
      </c>
      <c r="I26">
        <v>3.6229398947216343E-2</v>
      </c>
      <c r="J26">
        <v>2.5360579263051429E-2</v>
      </c>
      <c r="K26">
        <v>6.6221910005714868E-5</v>
      </c>
      <c r="L26" t="s">
        <v>268</v>
      </c>
      <c r="M26" t="s">
        <v>269</v>
      </c>
      <c r="N26" t="s">
        <v>262</v>
      </c>
      <c r="O26">
        <v>3.5999999046325684</v>
      </c>
      <c r="P26" t="s">
        <v>269</v>
      </c>
    </row>
    <row r="27" spans="1:16" x14ac:dyDescent="0.35">
      <c r="A27" t="s">
        <v>207</v>
      </c>
      <c r="B27" t="s">
        <v>128</v>
      </c>
      <c r="C27" t="s">
        <v>186</v>
      </c>
      <c r="D27" t="s">
        <v>187</v>
      </c>
      <c r="E27" t="s">
        <v>188</v>
      </c>
      <c r="F27" t="s">
        <v>19</v>
      </c>
      <c r="G27">
        <v>496399779.08999997</v>
      </c>
      <c r="H27">
        <v>1.6411995094133269E-2</v>
      </c>
      <c r="I27">
        <v>3.546847989581095E-2</v>
      </c>
      <c r="J27">
        <v>2.4827935927067661E-2</v>
      </c>
      <c r="K27">
        <v>3.3887151292821827E-6</v>
      </c>
      <c r="L27" t="s">
        <v>274</v>
      </c>
      <c r="M27" t="s">
        <v>261</v>
      </c>
      <c r="N27" t="s">
        <v>236</v>
      </c>
      <c r="O27">
        <v>4.7468352317810059</v>
      </c>
      <c r="P27" t="s">
        <v>261</v>
      </c>
    </row>
    <row r="28" spans="1:16" x14ac:dyDescent="0.35">
      <c r="A28" t="s">
        <v>207</v>
      </c>
      <c r="B28" t="s">
        <v>128</v>
      </c>
      <c r="C28" t="s">
        <v>151</v>
      </c>
      <c r="D28" t="s">
        <v>152</v>
      </c>
      <c r="E28" t="s">
        <v>153</v>
      </c>
      <c r="F28" t="s">
        <v>154</v>
      </c>
      <c r="G28">
        <v>425102643.92000002</v>
      </c>
      <c r="H28">
        <v>1.405476553456159E-2</v>
      </c>
      <c r="I28">
        <v>3.0374196795923479E-2</v>
      </c>
      <c r="J28">
        <v>2.126193775714643E-2</v>
      </c>
      <c r="K28">
        <v>4.238107165970284E-4</v>
      </c>
      <c r="L28" t="s">
        <v>248</v>
      </c>
      <c r="M28" t="s">
        <v>252</v>
      </c>
      <c r="N28" t="s">
        <v>249</v>
      </c>
      <c r="O28">
        <v>4.4193549156188965</v>
      </c>
      <c r="P28" t="s">
        <v>249</v>
      </c>
    </row>
    <row r="29" spans="1:16" x14ac:dyDescent="0.35">
      <c r="A29" t="s">
        <v>207</v>
      </c>
      <c r="B29" t="s">
        <v>128</v>
      </c>
      <c r="C29" t="s">
        <v>155</v>
      </c>
      <c r="D29" t="s">
        <v>156</v>
      </c>
      <c r="E29" t="s">
        <v>157</v>
      </c>
      <c r="F29" t="s">
        <v>61</v>
      </c>
      <c r="G29">
        <v>416844685.43000001</v>
      </c>
      <c r="H29">
        <v>1.3781740485126859E-2</v>
      </c>
      <c r="I29">
        <v>2.9784153755977039E-2</v>
      </c>
      <c r="J29">
        <v>2.084890762918392E-2</v>
      </c>
      <c r="K29">
        <v>8.7980564748013634E-6</v>
      </c>
      <c r="L29" t="s">
        <v>270</v>
      </c>
      <c r="M29" t="s">
        <v>262</v>
      </c>
      <c r="N29" t="s">
        <v>262</v>
      </c>
      <c r="O29">
        <v>4.8305087089538574</v>
      </c>
      <c r="P29" t="s">
        <v>262</v>
      </c>
    </row>
    <row r="30" spans="1:16" x14ac:dyDescent="0.35">
      <c r="A30" t="s">
        <v>207</v>
      </c>
      <c r="B30" t="s">
        <v>128</v>
      </c>
      <c r="C30" t="s">
        <v>189</v>
      </c>
      <c r="D30" t="s">
        <v>190</v>
      </c>
      <c r="E30" t="s">
        <v>191</v>
      </c>
      <c r="F30" t="s">
        <v>19</v>
      </c>
      <c r="G30">
        <v>404146862.76999998</v>
      </c>
      <c r="H30">
        <v>1.336192441755301E-2</v>
      </c>
      <c r="I30">
        <v>2.8876876019950631E-2</v>
      </c>
      <c r="J30">
        <v>2.021381321396544E-2</v>
      </c>
      <c r="K30">
        <v>1.9561990484262548E-4</v>
      </c>
      <c r="L30" t="s">
        <v>270</v>
      </c>
      <c r="M30" t="s">
        <v>269</v>
      </c>
      <c r="N30" t="s">
        <v>269</v>
      </c>
      <c r="O30">
        <v>5</v>
      </c>
      <c r="P30" t="s">
        <v>269</v>
      </c>
    </row>
    <row r="31" spans="1:16" x14ac:dyDescent="0.35">
      <c r="A31" t="s">
        <v>207</v>
      </c>
      <c r="B31" t="s">
        <v>128</v>
      </c>
      <c r="C31" t="s">
        <v>192</v>
      </c>
      <c r="D31" t="s">
        <v>193</v>
      </c>
      <c r="E31" t="s">
        <v>194</v>
      </c>
      <c r="F31" t="s">
        <v>132</v>
      </c>
      <c r="G31">
        <v>391065829.50999999</v>
      </c>
      <c r="H31">
        <v>1.2929438621360921E-2</v>
      </c>
      <c r="I31">
        <v>2.7942217334063851E-2</v>
      </c>
      <c r="J31">
        <v>1.95595521338447E-2</v>
      </c>
      <c r="K31">
        <v>1.403889658098123E-4</v>
      </c>
      <c r="L31" t="s">
        <v>236</v>
      </c>
      <c r="M31" t="s">
        <v>262</v>
      </c>
      <c r="N31" t="s">
        <v>252</v>
      </c>
      <c r="O31">
        <v>3.7272727489471436</v>
      </c>
      <c r="P31" t="s">
        <v>249</v>
      </c>
    </row>
    <row r="32" spans="1:16" x14ac:dyDescent="0.35">
      <c r="A32" t="s">
        <v>207</v>
      </c>
      <c r="B32" t="s">
        <v>128</v>
      </c>
      <c r="C32" t="s">
        <v>195</v>
      </c>
      <c r="D32" t="s">
        <v>196</v>
      </c>
      <c r="E32" t="s">
        <v>197</v>
      </c>
      <c r="F32" t="s">
        <v>19</v>
      </c>
      <c r="G32">
        <v>388093478.51999998</v>
      </c>
      <c r="H32">
        <v>1.283116659965425E-2</v>
      </c>
      <c r="I32">
        <v>2.7729838570468561E-2</v>
      </c>
      <c r="J32">
        <v>1.9410886999327991E-2</v>
      </c>
      <c r="K32">
        <v>1.908650165169945E-4</v>
      </c>
      <c r="L32" t="s">
        <v>270</v>
      </c>
      <c r="M32" t="s">
        <v>262</v>
      </c>
      <c r="N32" t="s">
        <v>262</v>
      </c>
      <c r="O32">
        <v>3.3636362552642822</v>
      </c>
      <c r="P32" t="s">
        <v>262</v>
      </c>
    </row>
    <row r="33" spans="1:16" x14ac:dyDescent="0.35">
      <c r="A33" t="s">
        <v>207</v>
      </c>
      <c r="B33" t="s">
        <v>128</v>
      </c>
      <c r="C33" t="s">
        <v>158</v>
      </c>
      <c r="D33" t="s">
        <v>159</v>
      </c>
      <c r="E33" t="s">
        <v>160</v>
      </c>
      <c r="F33" t="s">
        <v>38</v>
      </c>
      <c r="G33">
        <v>362944516.57999998</v>
      </c>
      <c r="H33">
        <v>1.199969032313682E-2</v>
      </c>
      <c r="I33">
        <v>2.593290898157026E-2</v>
      </c>
      <c r="J33">
        <v>1.8153036287099179E-2</v>
      </c>
      <c r="K33">
        <v>7.9453981537414009E-6</v>
      </c>
      <c r="L33" t="s">
        <v>248</v>
      </c>
      <c r="M33" t="s">
        <v>262</v>
      </c>
      <c r="N33" t="s">
        <v>236</v>
      </c>
      <c r="O33">
        <v>4.529411792755127</v>
      </c>
      <c r="P33" t="s">
        <v>262</v>
      </c>
    </row>
    <row r="34" spans="1:16" x14ac:dyDescent="0.35">
      <c r="A34" t="s">
        <v>207</v>
      </c>
      <c r="B34" t="s">
        <v>128</v>
      </c>
      <c r="C34" t="s">
        <v>198</v>
      </c>
      <c r="D34" t="s">
        <v>199</v>
      </c>
      <c r="E34" t="s">
        <v>200</v>
      </c>
      <c r="F34" t="s">
        <v>61</v>
      </c>
      <c r="G34">
        <v>334489131.64999998</v>
      </c>
      <c r="H34">
        <v>1.1058896919221619E-2</v>
      </c>
      <c r="I34">
        <v>2.3899730703031419E-2</v>
      </c>
      <c r="J34">
        <v>1.672981149212199E-2</v>
      </c>
      <c r="K34">
        <v>8.1047195843453324E-8</v>
      </c>
      <c r="L34" t="s">
        <v>271</v>
      </c>
      <c r="M34" t="s">
        <v>275</v>
      </c>
      <c r="N34" t="s">
        <v>236</v>
      </c>
      <c r="O34">
        <v>4.7199997901916504</v>
      </c>
      <c r="P34" t="s">
        <v>266</v>
      </c>
    </row>
    <row r="35" spans="1:16" x14ac:dyDescent="0.35">
      <c r="A35" t="s">
        <v>207</v>
      </c>
      <c r="B35" t="s">
        <v>128</v>
      </c>
      <c r="C35" t="s">
        <v>208</v>
      </c>
      <c r="D35" t="s">
        <v>209</v>
      </c>
      <c r="E35" t="s">
        <v>210</v>
      </c>
      <c r="F35" t="s">
        <v>61</v>
      </c>
      <c r="G35">
        <v>329891514.31999999</v>
      </c>
      <c r="H35">
        <v>1.0906890257971719E-2</v>
      </c>
      <c r="I35">
        <v>2.357122431623028E-2</v>
      </c>
      <c r="J35">
        <v>1.6499857021361201E-2</v>
      </c>
      <c r="K35">
        <v>4.6963976041425326E-9</v>
      </c>
      <c r="L35" t="s">
        <v>276</v>
      </c>
      <c r="M35" t="s">
        <v>275</v>
      </c>
      <c r="N35" t="s">
        <v>236</v>
      </c>
      <c r="O35">
        <v>4.2758622169494629</v>
      </c>
      <c r="P35" t="s">
        <v>241</v>
      </c>
    </row>
    <row r="36" spans="1:16" x14ac:dyDescent="0.35">
      <c r="A36" t="s">
        <v>207</v>
      </c>
      <c r="B36" t="s">
        <v>128</v>
      </c>
      <c r="C36" t="s">
        <v>161</v>
      </c>
      <c r="D36" t="s">
        <v>162</v>
      </c>
      <c r="E36" t="s">
        <v>163</v>
      </c>
      <c r="F36" t="s">
        <v>34</v>
      </c>
      <c r="G36">
        <v>325529724.55000001</v>
      </c>
      <c r="H36">
        <v>1.076268053967146E-2</v>
      </c>
      <c r="I36">
        <v>2.3259568148593378E-2</v>
      </c>
      <c r="J36">
        <v>1.6281697704015361E-2</v>
      </c>
      <c r="K36">
        <v>1.587606712760703E-10</v>
      </c>
      <c r="L36" t="s">
        <v>271</v>
      </c>
      <c r="M36" t="s">
        <v>266</v>
      </c>
      <c r="N36" t="s">
        <v>272</v>
      </c>
      <c r="O36">
        <v>3</v>
      </c>
      <c r="P36" t="s">
        <v>266</v>
      </c>
    </row>
    <row r="37" spans="1:16" x14ac:dyDescent="0.35">
      <c r="A37" t="s">
        <v>207</v>
      </c>
      <c r="B37" t="s">
        <v>128</v>
      </c>
      <c r="C37" t="s">
        <v>164</v>
      </c>
      <c r="D37" t="s">
        <v>165</v>
      </c>
      <c r="E37" t="s">
        <v>166</v>
      </c>
      <c r="F37" t="s">
        <v>38</v>
      </c>
      <c r="G37">
        <v>319162528.54000002</v>
      </c>
      <c r="H37">
        <v>1.0552167976851479E-2</v>
      </c>
      <c r="I37">
        <v>2.2804622813832401E-2</v>
      </c>
      <c r="J37">
        <v>1.5963235969682681E-2</v>
      </c>
      <c r="K37">
        <v>3.3966799623863508E-5</v>
      </c>
      <c r="L37" t="s">
        <v>268</v>
      </c>
      <c r="M37" t="s">
        <v>269</v>
      </c>
      <c r="N37" t="s">
        <v>269</v>
      </c>
      <c r="O37">
        <v>3.7567567825317383</v>
      </c>
      <c r="P37" t="s">
        <v>269</v>
      </c>
    </row>
    <row r="38" spans="1:16" x14ac:dyDescent="0.35">
      <c r="A38" t="s">
        <v>207</v>
      </c>
      <c r="B38" t="s">
        <v>128</v>
      </c>
      <c r="C38" t="s">
        <v>16</v>
      </c>
      <c r="D38" t="s">
        <v>17</v>
      </c>
      <c r="E38" t="s">
        <v>18</v>
      </c>
      <c r="F38" t="s">
        <v>19</v>
      </c>
      <c r="G38">
        <v>314660903.13999999</v>
      </c>
      <c r="H38">
        <v>1.0403335005741249E-2</v>
      </c>
      <c r="I38">
        <v>2.2482975188825249E-2</v>
      </c>
      <c r="J38">
        <v>1.5738082632177679E-2</v>
      </c>
      <c r="K38">
        <v>1.153386182234406E-2</v>
      </c>
      <c r="L38" t="s">
        <v>237</v>
      </c>
      <c r="M38" t="s">
        <v>238</v>
      </c>
      <c r="N38" t="s">
        <v>239</v>
      </c>
      <c r="O38">
        <v>2.9200000762939453</v>
      </c>
      <c r="P38" t="s">
        <v>238</v>
      </c>
    </row>
    <row r="39" spans="1:16" x14ac:dyDescent="0.35">
      <c r="A39" t="s">
        <v>207</v>
      </c>
      <c r="B39" t="s">
        <v>128</v>
      </c>
      <c r="C39" t="s">
        <v>16</v>
      </c>
      <c r="D39" t="s">
        <v>17</v>
      </c>
      <c r="E39" t="s">
        <v>18</v>
      </c>
      <c r="F39" t="s">
        <v>19</v>
      </c>
      <c r="G39">
        <v>314660903.13999999</v>
      </c>
      <c r="H39">
        <v>1.0403335005741249E-2</v>
      </c>
      <c r="I39">
        <v>2.2482975188825249E-2</v>
      </c>
      <c r="J39">
        <v>1.5738082632177679E-2</v>
      </c>
      <c r="K39">
        <v>1.153386182234406E-2</v>
      </c>
      <c r="L39" t="s">
        <v>237</v>
      </c>
      <c r="M39" t="s">
        <v>238</v>
      </c>
      <c r="N39" t="s">
        <v>239</v>
      </c>
      <c r="O39">
        <v>2.9200000762939453</v>
      </c>
      <c r="P39" t="s">
        <v>238</v>
      </c>
    </row>
    <row r="40" spans="1:16" x14ac:dyDescent="0.35">
      <c r="A40" t="s">
        <v>207</v>
      </c>
      <c r="B40" t="s">
        <v>128</v>
      </c>
      <c r="C40" t="s">
        <v>167</v>
      </c>
      <c r="D40" t="s">
        <v>168</v>
      </c>
      <c r="E40" t="s">
        <v>169</v>
      </c>
      <c r="F40" t="s">
        <v>38</v>
      </c>
      <c r="G40">
        <v>309049197.52999997</v>
      </c>
      <c r="H40">
        <v>1.0217800505484469E-2</v>
      </c>
      <c r="I40">
        <v>2.2082010732365639E-2</v>
      </c>
      <c r="J40">
        <v>1.545740751265595E-2</v>
      </c>
      <c r="K40">
        <v>4.2979488580086045E-4</v>
      </c>
      <c r="L40" t="s">
        <v>273</v>
      </c>
      <c r="M40" t="s">
        <v>264</v>
      </c>
      <c r="N40" t="s">
        <v>264</v>
      </c>
      <c r="O40">
        <v>4.7142858505249023</v>
      </c>
      <c r="P40" t="s">
        <v>264</v>
      </c>
    </row>
    <row r="41" spans="1:16" x14ac:dyDescent="0.35">
      <c r="A41" t="s">
        <v>207</v>
      </c>
      <c r="B41" t="s">
        <v>128</v>
      </c>
      <c r="C41" t="s">
        <v>201</v>
      </c>
      <c r="D41" t="s">
        <v>202</v>
      </c>
      <c r="E41" t="s">
        <v>203</v>
      </c>
      <c r="F41" t="s">
        <v>38</v>
      </c>
      <c r="G41">
        <v>301539418.44</v>
      </c>
      <c r="H41">
        <v>9.969511801953929E-3</v>
      </c>
      <c r="I41">
        <v>2.1545426189229989E-2</v>
      </c>
      <c r="J41">
        <v>1.508179833246099E-2</v>
      </c>
      <c r="K41">
        <v>4.6617432968187877E-5</v>
      </c>
      <c r="L41" t="s">
        <v>248</v>
      </c>
      <c r="M41" t="s">
        <v>249</v>
      </c>
      <c r="N41" t="s">
        <v>240</v>
      </c>
      <c r="O41">
        <v>3.5333333015441895</v>
      </c>
      <c r="P41" t="s">
        <v>249</v>
      </c>
    </row>
    <row r="42" spans="1:16" x14ac:dyDescent="0.35">
      <c r="A42" t="s">
        <v>207</v>
      </c>
      <c r="B42" t="s">
        <v>128</v>
      </c>
      <c r="C42" t="s">
        <v>211</v>
      </c>
      <c r="D42" t="s">
        <v>212</v>
      </c>
      <c r="E42" t="s">
        <v>213</v>
      </c>
      <c r="F42" t="s">
        <v>38</v>
      </c>
      <c r="G42">
        <v>242588811.90000001</v>
      </c>
      <c r="H42">
        <v>8.0204838086210643E-3</v>
      </c>
      <c r="I42">
        <v>1.7333320360450471E-2</v>
      </c>
      <c r="J42">
        <v>1.2133324252315329E-2</v>
      </c>
      <c r="K42">
        <v>1.0050652414028693E-4</v>
      </c>
      <c r="L42" t="s">
        <v>236</v>
      </c>
      <c r="M42" t="s">
        <v>260</v>
      </c>
      <c r="N42" t="s">
        <v>240</v>
      </c>
      <c r="O42">
        <v>4.0769228935241699</v>
      </c>
      <c r="P42" t="s">
        <v>241</v>
      </c>
    </row>
    <row r="43" spans="1:16" x14ac:dyDescent="0.35">
      <c r="A43" t="s">
        <v>207</v>
      </c>
      <c r="B43" t="s">
        <v>128</v>
      </c>
      <c r="C43" t="s">
        <v>170</v>
      </c>
      <c r="D43" t="s">
        <v>171</v>
      </c>
      <c r="E43" t="s">
        <v>172</v>
      </c>
      <c r="F43" t="s">
        <v>23</v>
      </c>
      <c r="G43">
        <v>240190668.31</v>
      </c>
      <c r="H43">
        <v>7.9411962615833533E-3</v>
      </c>
      <c r="I43">
        <v>1.7161969543443439E-2</v>
      </c>
      <c r="J43">
        <v>1.201337868041041E-2</v>
      </c>
      <c r="K43">
        <v>1.0875131330323473E-4</v>
      </c>
      <c r="L43" t="s">
        <v>273</v>
      </c>
      <c r="M43" t="s">
        <v>260</v>
      </c>
      <c r="N43" t="s">
        <v>260</v>
      </c>
      <c r="O43">
        <v>4.53125</v>
      </c>
      <c r="P43" t="s">
        <v>260</v>
      </c>
    </row>
    <row r="44" spans="1:16" x14ac:dyDescent="0.35">
      <c r="A44" t="s">
        <v>207</v>
      </c>
      <c r="B44" t="s">
        <v>128</v>
      </c>
      <c r="C44" t="s">
        <v>204</v>
      </c>
      <c r="D44" t="s">
        <v>205</v>
      </c>
      <c r="E44" t="s">
        <v>206</v>
      </c>
      <c r="F44" t="s">
        <v>30</v>
      </c>
      <c r="G44">
        <v>232306626.06999999</v>
      </c>
      <c r="H44">
        <v>7.6805336504878726E-3</v>
      </c>
      <c r="I44">
        <v>1.6598643358649821E-2</v>
      </c>
      <c r="J44">
        <v>1.161905035105487E-2</v>
      </c>
      <c r="K44">
        <v>6.9628543227440165E-4</v>
      </c>
      <c r="L44" t="s">
        <v>263</v>
      </c>
      <c r="M44" t="s">
        <v>264</v>
      </c>
      <c r="N44" t="s">
        <v>264</v>
      </c>
      <c r="O44">
        <v>4.3548388481140137</v>
      </c>
      <c r="P44" t="s">
        <v>264</v>
      </c>
    </row>
    <row r="45" spans="1:16" x14ac:dyDescent="0.35">
      <c r="A45" t="s">
        <v>207</v>
      </c>
      <c r="B45" t="s">
        <v>128</v>
      </c>
      <c r="C45" t="s">
        <v>173</v>
      </c>
      <c r="D45" t="s">
        <v>174</v>
      </c>
      <c r="E45" t="s">
        <v>175</v>
      </c>
      <c r="F45" t="s">
        <v>15</v>
      </c>
      <c r="G45">
        <v>216510068.71000001</v>
      </c>
      <c r="H45">
        <v>7.1582670564700893E-3</v>
      </c>
      <c r="I45">
        <v>1.546995656073607E-2</v>
      </c>
      <c r="J45">
        <v>1.0828969592515249E-2</v>
      </c>
      <c r="K45">
        <v>3.6320905462683406E-5</v>
      </c>
      <c r="L45" t="s">
        <v>263</v>
      </c>
      <c r="M45" t="s">
        <v>264</v>
      </c>
      <c r="N45" t="s">
        <v>264</v>
      </c>
      <c r="O45">
        <v>4.7142858505249023</v>
      </c>
      <c r="P45" t="s">
        <v>264</v>
      </c>
    </row>
    <row r="46" spans="1:16" x14ac:dyDescent="0.35">
      <c r="A46" t="s">
        <v>207</v>
      </c>
      <c r="B46" t="s">
        <v>128</v>
      </c>
      <c r="C46" t="s">
        <v>214</v>
      </c>
      <c r="D46" t="s">
        <v>215</v>
      </c>
      <c r="E46" t="s">
        <v>216</v>
      </c>
      <c r="F46" t="s">
        <v>132</v>
      </c>
      <c r="G46">
        <v>209813232.49000001</v>
      </c>
      <c r="H46">
        <v>6.9368559120285304E-3</v>
      </c>
      <c r="I46">
        <v>1.499145795771485E-2</v>
      </c>
      <c r="J46">
        <v>1.04940205704004E-2</v>
      </c>
      <c r="K46">
        <v>3.2628516287480647E-4</v>
      </c>
      <c r="L46" t="s">
        <v>236</v>
      </c>
      <c r="M46" t="s">
        <v>262</v>
      </c>
      <c r="N46" t="s">
        <v>262</v>
      </c>
      <c r="O46">
        <v>4.625</v>
      </c>
      <c r="P46" t="s">
        <v>262</v>
      </c>
    </row>
    <row r="47" spans="1:16" x14ac:dyDescent="0.35">
      <c r="A47" t="s">
        <v>207</v>
      </c>
      <c r="B47" t="s">
        <v>128</v>
      </c>
      <c r="C47" t="s">
        <v>125</v>
      </c>
      <c r="D47" t="s">
        <v>126</v>
      </c>
      <c r="E47" t="s">
        <v>127</v>
      </c>
      <c r="F47" t="s">
        <v>34</v>
      </c>
      <c r="G47">
        <v>204472734.30000001</v>
      </c>
      <c r="H47">
        <v>6.7602880854771476E-3</v>
      </c>
      <c r="I47">
        <v>1.4609871662425051E-2</v>
      </c>
      <c r="J47">
        <v>1.022691016369753E-2</v>
      </c>
      <c r="K47">
        <v>7.5862625332834277E-4</v>
      </c>
      <c r="L47" t="s">
        <v>247</v>
      </c>
      <c r="M47" t="s">
        <v>238</v>
      </c>
      <c r="N47" t="s">
        <v>260</v>
      </c>
      <c r="O47">
        <v>4.3333334922790527</v>
      </c>
      <c r="P47" t="s">
        <v>238</v>
      </c>
    </row>
    <row r="48" spans="1:16" x14ac:dyDescent="0.35">
      <c r="A48" t="s">
        <v>207</v>
      </c>
      <c r="B48" t="s">
        <v>128</v>
      </c>
      <c r="C48" t="s">
        <v>217</v>
      </c>
      <c r="D48" t="s">
        <v>218</v>
      </c>
      <c r="E48" t="s">
        <v>219</v>
      </c>
      <c r="F48" t="s">
        <v>15</v>
      </c>
      <c r="G48">
        <v>171471740.63</v>
      </c>
      <c r="H48">
        <v>5.6692075309965496E-3</v>
      </c>
      <c r="I48">
        <v>1.225190308582348E-2</v>
      </c>
      <c r="J48">
        <v>8.5763321600764338E-3</v>
      </c>
      <c r="K48">
        <v>1.9094179100553887E-4</v>
      </c>
      <c r="L48" t="s">
        <v>263</v>
      </c>
      <c r="M48" t="s">
        <v>264</v>
      </c>
      <c r="N48" t="s">
        <v>264</v>
      </c>
      <c r="O48">
        <v>3.95652174949646</v>
      </c>
      <c r="P48" t="s">
        <v>264</v>
      </c>
    </row>
    <row r="49" spans="1:16" x14ac:dyDescent="0.35">
      <c r="A49" t="s">
        <v>207</v>
      </c>
      <c r="B49" t="s">
        <v>128</v>
      </c>
      <c r="C49" t="s">
        <v>220</v>
      </c>
      <c r="D49" t="s">
        <v>221</v>
      </c>
      <c r="E49" t="s">
        <v>222</v>
      </c>
      <c r="F49" t="s">
        <v>23</v>
      </c>
      <c r="G49">
        <v>158188742.02000001</v>
      </c>
      <c r="H49">
        <v>5.2300443459880131E-3</v>
      </c>
      <c r="I49">
        <v>1.1302813684497511E-2</v>
      </c>
      <c r="J49">
        <v>7.9119695791482602E-3</v>
      </c>
      <c r="K49">
        <v>1.0706530446658036E-6</v>
      </c>
      <c r="L49" t="s">
        <v>268</v>
      </c>
      <c r="M49" t="s">
        <v>269</v>
      </c>
      <c r="N49" t="s">
        <v>240</v>
      </c>
      <c r="O49">
        <v>4.2399997711181641</v>
      </c>
      <c r="P49" t="s">
        <v>269</v>
      </c>
    </row>
    <row r="50" spans="1:16" x14ac:dyDescent="0.35">
      <c r="A50" t="s">
        <v>207</v>
      </c>
      <c r="B50" t="s">
        <v>128</v>
      </c>
      <c r="C50" t="s">
        <v>223</v>
      </c>
      <c r="D50" t="s">
        <v>224</v>
      </c>
      <c r="E50" t="s">
        <v>225</v>
      </c>
      <c r="F50" t="s">
        <v>226</v>
      </c>
      <c r="G50">
        <v>93757146.920000002</v>
      </c>
      <c r="H50">
        <v>3.0998036262461538E-3</v>
      </c>
      <c r="I50">
        <v>6.6990833209409949E-3</v>
      </c>
      <c r="J50">
        <v>4.689358324658696E-3</v>
      </c>
      <c r="K50">
        <v>2.2568138161593865E-6</v>
      </c>
      <c r="L50" t="s">
        <v>270</v>
      </c>
      <c r="M50" t="s">
        <v>262</v>
      </c>
      <c r="N50" t="s">
        <v>236</v>
      </c>
      <c r="O50">
        <v>4.8888888359069824</v>
      </c>
      <c r="P50" t="s">
        <v>241</v>
      </c>
    </row>
    <row r="51" spans="1:16" x14ac:dyDescent="0.35">
      <c r="A51" t="s">
        <v>207</v>
      </c>
      <c r="B51" t="s">
        <v>128</v>
      </c>
      <c r="C51" t="s">
        <v>227</v>
      </c>
      <c r="D51" t="s">
        <v>228</v>
      </c>
      <c r="E51" t="s">
        <v>229</v>
      </c>
      <c r="F51" t="s">
        <v>68</v>
      </c>
      <c r="G51">
        <v>86104352.560000002</v>
      </c>
      <c r="H51">
        <v>2.8467865444839978E-3</v>
      </c>
      <c r="I51">
        <v>6.152280130572888E-3</v>
      </c>
      <c r="J51">
        <v>4.3065960914010224E-3</v>
      </c>
      <c r="K51">
        <v>1.1079096125965471E-5</v>
      </c>
      <c r="L51" t="s">
        <v>265</v>
      </c>
      <c r="M51" t="s">
        <v>241</v>
      </c>
      <c r="N51" t="s">
        <v>249</v>
      </c>
      <c r="O51">
        <v>3.2000000476837158</v>
      </c>
      <c r="P51" t="s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399627922.77999997</v>
      </c>
      <c r="H2">
        <v>2.4261330576203222E-2</v>
      </c>
      <c r="I2">
        <v>8.1282141444581374E-2</v>
      </c>
      <c r="J2">
        <v>5.6897499011206963E-2</v>
      </c>
    </row>
    <row r="3" spans="1:10" x14ac:dyDescent="0.35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>
        <v>366171785.36000001</v>
      </c>
      <c r="H3">
        <v>2.2230215222443651E-2</v>
      </c>
      <c r="I3">
        <v>7.4477345435722792E-2</v>
      </c>
      <c r="J3">
        <v>5.2134141805005953E-2</v>
      </c>
    </row>
    <row r="4" spans="1:10" x14ac:dyDescent="0.3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>
        <v>299117163.92000002</v>
      </c>
      <c r="H4">
        <v>1.815934268155367E-2</v>
      </c>
      <c r="I4">
        <v>6.0838800895381913E-2</v>
      </c>
      <c r="J4">
        <v>4.2587160626767331E-2</v>
      </c>
    </row>
    <row r="5" spans="1:10" x14ac:dyDescent="0.35">
      <c r="A5" t="s">
        <v>10</v>
      </c>
      <c r="B5" t="s">
        <v>11</v>
      </c>
      <c r="C5" t="s">
        <v>24</v>
      </c>
      <c r="D5" t="s">
        <v>25</v>
      </c>
      <c r="E5" t="s">
        <v>26</v>
      </c>
      <c r="F5" t="s">
        <v>19</v>
      </c>
      <c r="G5">
        <v>243405852.05000001</v>
      </c>
      <c r="H5">
        <v>1.4777120176405759E-2</v>
      </c>
      <c r="I5">
        <v>4.9507423698364993E-2</v>
      </c>
      <c r="J5">
        <v>3.4655196588855491E-2</v>
      </c>
    </row>
    <row r="6" spans="1:10" x14ac:dyDescent="0.35">
      <c r="A6" t="s">
        <v>10</v>
      </c>
      <c r="B6" t="s">
        <v>11</v>
      </c>
      <c r="C6" t="s">
        <v>27</v>
      </c>
      <c r="D6" t="s">
        <v>28</v>
      </c>
      <c r="E6" t="s">
        <v>29</v>
      </c>
      <c r="F6" t="s">
        <v>30</v>
      </c>
      <c r="G6">
        <v>178614150.91999999</v>
      </c>
      <c r="H6">
        <v>1.084362907104359E-2</v>
      </c>
      <c r="I6">
        <v>3.6329144815728152E-2</v>
      </c>
      <c r="J6">
        <v>2.54304013710097E-2</v>
      </c>
    </row>
    <row r="7" spans="1:10" x14ac:dyDescent="0.35">
      <c r="A7" t="s">
        <v>10</v>
      </c>
      <c r="B7" t="s">
        <v>11</v>
      </c>
      <c r="C7" t="s">
        <v>31</v>
      </c>
      <c r="D7" t="s">
        <v>32</v>
      </c>
      <c r="E7" t="s">
        <v>33</v>
      </c>
      <c r="F7" t="s">
        <v>34</v>
      </c>
      <c r="G7">
        <v>166449716.81</v>
      </c>
      <c r="H7">
        <v>1.0105128730121159E-2</v>
      </c>
      <c r="I7">
        <v>3.3854965216254487E-2</v>
      </c>
      <c r="J7">
        <v>2.3698475651378139E-2</v>
      </c>
    </row>
    <row r="8" spans="1:10" x14ac:dyDescent="0.35">
      <c r="A8" t="s">
        <v>10</v>
      </c>
      <c r="B8" t="s">
        <v>11</v>
      </c>
      <c r="C8" t="s">
        <v>35</v>
      </c>
      <c r="D8" t="s">
        <v>36</v>
      </c>
      <c r="E8" t="s">
        <v>37</v>
      </c>
      <c r="F8" t="s">
        <v>38</v>
      </c>
      <c r="G8">
        <v>166128375.28999999</v>
      </c>
      <c r="H8">
        <v>1.008562015126525E-2</v>
      </c>
      <c r="I8">
        <v>3.3789606102459437E-2</v>
      </c>
      <c r="J8">
        <v>2.36527242717216E-2</v>
      </c>
    </row>
    <row r="9" spans="1:10" x14ac:dyDescent="0.35">
      <c r="A9" t="s">
        <v>10</v>
      </c>
      <c r="B9" t="s">
        <v>11</v>
      </c>
      <c r="C9" t="s">
        <v>39</v>
      </c>
      <c r="D9" t="s">
        <v>40</v>
      </c>
      <c r="E9" t="s">
        <v>41</v>
      </c>
      <c r="F9" t="s">
        <v>30</v>
      </c>
      <c r="G9">
        <v>162664576.12</v>
      </c>
      <c r="H9">
        <v>9.8753336023966118E-3</v>
      </c>
      <c r="I9">
        <v>3.3085088229651637E-2</v>
      </c>
      <c r="J9">
        <v>2.3159561760756151E-2</v>
      </c>
    </row>
    <row r="10" spans="1:10" x14ac:dyDescent="0.35">
      <c r="A10" t="s">
        <v>10</v>
      </c>
      <c r="B10" t="s">
        <v>11</v>
      </c>
      <c r="C10" t="s">
        <v>42</v>
      </c>
      <c r="D10" t="s">
        <v>43</v>
      </c>
      <c r="E10" t="s">
        <v>44</v>
      </c>
      <c r="F10" t="s">
        <v>38</v>
      </c>
      <c r="G10">
        <v>158999930.11000001</v>
      </c>
      <c r="H10">
        <v>9.652853682387821E-3</v>
      </c>
      <c r="I10">
        <v>3.2339719204241682E-2</v>
      </c>
      <c r="J10">
        <v>2.263780344296917E-2</v>
      </c>
    </row>
    <row r="11" spans="1:10" x14ac:dyDescent="0.35">
      <c r="A11" t="s">
        <v>10</v>
      </c>
      <c r="B11" t="s">
        <v>11</v>
      </c>
      <c r="C11" t="s">
        <v>45</v>
      </c>
      <c r="D11" t="s">
        <v>46</v>
      </c>
      <c r="E11" t="s">
        <v>47</v>
      </c>
      <c r="F11" t="s">
        <v>15</v>
      </c>
      <c r="G11">
        <v>151124561.53999999</v>
      </c>
      <c r="H11">
        <v>9.1747416451781593E-3</v>
      </c>
      <c r="I11">
        <v>3.0737912159373711E-2</v>
      </c>
      <c r="J11">
        <v>2.15165385115616E-2</v>
      </c>
    </row>
    <row r="12" spans="1:10" x14ac:dyDescent="0.35">
      <c r="A12" t="s">
        <v>10</v>
      </c>
      <c r="B12" t="s">
        <v>11</v>
      </c>
      <c r="C12" t="s">
        <v>48</v>
      </c>
      <c r="D12" t="s">
        <v>49</v>
      </c>
      <c r="E12" t="s">
        <v>50</v>
      </c>
      <c r="F12" t="s">
        <v>51</v>
      </c>
      <c r="G12">
        <v>150990548.13</v>
      </c>
      <c r="H12">
        <v>9.166605718091192E-3</v>
      </c>
      <c r="I12">
        <v>3.0710654562178519E-2</v>
      </c>
      <c r="J12">
        <v>2.149745819352496E-2</v>
      </c>
    </row>
    <row r="13" spans="1:10" x14ac:dyDescent="0.35">
      <c r="A13" t="s">
        <v>10</v>
      </c>
      <c r="B13" t="s">
        <v>11</v>
      </c>
      <c r="C13" t="s">
        <v>52</v>
      </c>
      <c r="D13" t="s">
        <v>53</v>
      </c>
      <c r="E13" t="s">
        <v>54</v>
      </c>
      <c r="F13" t="s">
        <v>15</v>
      </c>
      <c r="G13">
        <v>144776575.13999999</v>
      </c>
      <c r="H13">
        <v>8.7893566713948667E-3</v>
      </c>
      <c r="I13">
        <v>2.9446766323357829E-2</v>
      </c>
      <c r="J13">
        <v>2.0612736426350479E-2</v>
      </c>
    </row>
    <row r="14" spans="1:10" x14ac:dyDescent="0.35">
      <c r="A14" t="s">
        <v>10</v>
      </c>
      <c r="B14" t="s">
        <v>11</v>
      </c>
      <c r="C14" t="s">
        <v>55</v>
      </c>
      <c r="D14" t="s">
        <v>56</v>
      </c>
      <c r="E14" t="s">
        <v>57</v>
      </c>
      <c r="F14" t="s">
        <v>38</v>
      </c>
      <c r="G14">
        <v>132368241.48</v>
      </c>
      <c r="H14">
        <v>8.0360492379930783E-3</v>
      </c>
      <c r="I14">
        <v>2.6922978884713521E-2</v>
      </c>
      <c r="J14">
        <v>1.8846085219299459E-2</v>
      </c>
    </row>
    <row r="15" spans="1:10" x14ac:dyDescent="0.35">
      <c r="A15" t="s">
        <v>10</v>
      </c>
      <c r="B15" t="s">
        <v>11</v>
      </c>
      <c r="C15" t="s">
        <v>58</v>
      </c>
      <c r="D15" t="s">
        <v>59</v>
      </c>
      <c r="E15" t="s">
        <v>60</v>
      </c>
      <c r="F15" t="s">
        <v>61</v>
      </c>
      <c r="G15">
        <v>131166680.92</v>
      </c>
      <c r="H15">
        <v>7.9631027387827708E-3</v>
      </c>
      <c r="I15">
        <v>2.6678588015545159E-2</v>
      </c>
      <c r="J15">
        <v>1.8675011610881611E-2</v>
      </c>
    </row>
    <row r="16" spans="1:10" x14ac:dyDescent="0.35">
      <c r="A16" t="s">
        <v>10</v>
      </c>
      <c r="B16" t="s">
        <v>11</v>
      </c>
      <c r="C16" t="s">
        <v>62</v>
      </c>
      <c r="D16" t="s">
        <v>63</v>
      </c>
      <c r="E16" t="s">
        <v>64</v>
      </c>
      <c r="F16" t="s">
        <v>19</v>
      </c>
      <c r="G16">
        <v>131086786.5</v>
      </c>
      <c r="H16">
        <v>7.9582523646614389E-3</v>
      </c>
      <c r="I16">
        <v>2.666233792595708E-2</v>
      </c>
      <c r="J16">
        <v>1.8663636548169951E-2</v>
      </c>
    </row>
    <row r="17" spans="1:10" x14ac:dyDescent="0.35">
      <c r="A17" t="s">
        <v>10</v>
      </c>
      <c r="B17" t="s">
        <v>11</v>
      </c>
      <c r="C17" t="s">
        <v>65</v>
      </c>
      <c r="D17" t="s">
        <v>66</v>
      </c>
      <c r="E17" t="s">
        <v>67</v>
      </c>
      <c r="F17" t="s">
        <v>68</v>
      </c>
      <c r="G17">
        <v>122143598.7</v>
      </c>
      <c r="H17">
        <v>7.4153132374065239E-3</v>
      </c>
      <c r="I17">
        <v>2.484334226952685E-2</v>
      </c>
      <c r="J17">
        <v>1.7390339588668789E-2</v>
      </c>
    </row>
    <row r="18" spans="1:10" x14ac:dyDescent="0.35">
      <c r="A18" t="s">
        <v>10</v>
      </c>
      <c r="B18" t="s">
        <v>11</v>
      </c>
      <c r="C18" t="s">
        <v>69</v>
      </c>
      <c r="D18" t="s">
        <v>70</v>
      </c>
      <c r="E18" t="s">
        <v>71</v>
      </c>
      <c r="F18" t="s">
        <v>19</v>
      </c>
      <c r="G18">
        <v>118552234.94</v>
      </c>
      <c r="H18">
        <v>7.1972822680122176E-3</v>
      </c>
      <c r="I18">
        <v>2.411287845436455E-2</v>
      </c>
      <c r="J18">
        <v>1.6879014918055189E-2</v>
      </c>
    </row>
    <row r="19" spans="1:10" x14ac:dyDescent="0.35">
      <c r="A19" t="s">
        <v>10</v>
      </c>
      <c r="B19" t="s">
        <v>11</v>
      </c>
      <c r="C19" t="s">
        <v>72</v>
      </c>
      <c r="D19" t="s">
        <v>73</v>
      </c>
      <c r="E19" t="s">
        <v>74</v>
      </c>
      <c r="F19" t="s">
        <v>38</v>
      </c>
      <c r="G19">
        <v>113136953.84999999</v>
      </c>
      <c r="H19">
        <v>6.8685216454471149E-3</v>
      </c>
      <c r="I19">
        <v>2.3011439794979729E-2</v>
      </c>
      <c r="J19">
        <v>1.610800785648581E-2</v>
      </c>
    </row>
    <row r="20" spans="1:10" x14ac:dyDescent="0.35">
      <c r="A20" t="s">
        <v>10</v>
      </c>
      <c r="B20" t="s">
        <v>11</v>
      </c>
      <c r="C20" t="s">
        <v>75</v>
      </c>
      <c r="D20" t="s">
        <v>76</v>
      </c>
      <c r="E20" t="s">
        <v>77</v>
      </c>
      <c r="F20" t="s">
        <v>30</v>
      </c>
      <c r="G20">
        <v>112366772.53</v>
      </c>
      <c r="H20">
        <v>6.8217640928763361E-3</v>
      </c>
      <c r="I20">
        <v>2.2854789112127721E-2</v>
      </c>
      <c r="J20">
        <v>1.59983523784894E-2</v>
      </c>
    </row>
    <row r="21" spans="1:10" x14ac:dyDescent="0.35">
      <c r="A21" t="s">
        <v>10</v>
      </c>
      <c r="B21" t="s">
        <v>11</v>
      </c>
      <c r="C21" t="s">
        <v>78</v>
      </c>
      <c r="D21" t="s">
        <v>79</v>
      </c>
      <c r="E21" t="s">
        <v>80</v>
      </c>
      <c r="F21" t="s">
        <v>19</v>
      </c>
      <c r="G21">
        <v>112256692.86</v>
      </c>
      <c r="H21">
        <v>6.8150811783166858E-3</v>
      </c>
      <c r="I21">
        <v>2.2832399507205049E-2</v>
      </c>
      <c r="J21">
        <v>1.5982679655043529E-2</v>
      </c>
    </row>
    <row r="22" spans="1:10" x14ac:dyDescent="0.35">
      <c r="A22" t="s">
        <v>10</v>
      </c>
      <c r="B22" t="s">
        <v>11</v>
      </c>
      <c r="C22" t="s">
        <v>81</v>
      </c>
      <c r="D22" t="s">
        <v>82</v>
      </c>
      <c r="E22" t="s">
        <v>83</v>
      </c>
      <c r="F22" t="s">
        <v>30</v>
      </c>
      <c r="G22">
        <v>107333787.78</v>
      </c>
      <c r="H22">
        <v>6.5162126039931111E-3</v>
      </c>
      <c r="I22">
        <v>2.1831107444710469E-2</v>
      </c>
      <c r="J22">
        <v>1.528177521129733E-2</v>
      </c>
    </row>
    <row r="23" spans="1:10" x14ac:dyDescent="0.35">
      <c r="A23" t="s">
        <v>10</v>
      </c>
      <c r="B23" t="s">
        <v>11</v>
      </c>
      <c r="C23" t="s">
        <v>84</v>
      </c>
      <c r="D23" t="s">
        <v>85</v>
      </c>
      <c r="E23" t="s">
        <v>86</v>
      </c>
      <c r="F23" t="s">
        <v>38</v>
      </c>
      <c r="G23">
        <v>103435800.63</v>
      </c>
      <c r="H23">
        <v>6.2795665904461437E-3</v>
      </c>
      <c r="I23">
        <v>2.1038278103178491E-2</v>
      </c>
      <c r="J23">
        <v>1.472679467222494E-2</v>
      </c>
    </row>
    <row r="24" spans="1:10" x14ac:dyDescent="0.35">
      <c r="A24" t="s">
        <v>10</v>
      </c>
      <c r="B24" t="s">
        <v>11</v>
      </c>
      <c r="C24" t="s">
        <v>87</v>
      </c>
      <c r="D24" t="s">
        <v>88</v>
      </c>
      <c r="E24" t="s">
        <v>89</v>
      </c>
      <c r="F24" t="s">
        <v>19</v>
      </c>
      <c r="G24">
        <v>102714602.58</v>
      </c>
      <c r="H24">
        <v>6.2357828023158141E-3</v>
      </c>
      <c r="I24">
        <v>2.0891590350476271E-2</v>
      </c>
      <c r="J24">
        <v>1.462411324533339E-2</v>
      </c>
    </row>
    <row r="25" spans="1:10" x14ac:dyDescent="0.35">
      <c r="A25" t="s">
        <v>10</v>
      </c>
      <c r="B25" t="s">
        <v>11</v>
      </c>
      <c r="C25" t="s">
        <v>90</v>
      </c>
      <c r="D25" t="s">
        <v>91</v>
      </c>
      <c r="E25" t="s">
        <v>92</v>
      </c>
      <c r="F25" t="s">
        <v>19</v>
      </c>
      <c r="G25">
        <v>102198584.98999999</v>
      </c>
      <c r="H25">
        <v>6.2044554785216314E-3</v>
      </c>
      <c r="I25">
        <v>2.0786635185065159E-2</v>
      </c>
      <c r="J25">
        <v>1.455064462954561E-2</v>
      </c>
    </row>
    <row r="26" spans="1:10" x14ac:dyDescent="0.35">
      <c r="A26" t="s">
        <v>10</v>
      </c>
      <c r="B26" t="s">
        <v>11</v>
      </c>
      <c r="C26" t="s">
        <v>93</v>
      </c>
      <c r="D26" t="s">
        <v>94</v>
      </c>
      <c r="E26" t="s">
        <v>95</v>
      </c>
      <c r="F26" t="s">
        <v>30</v>
      </c>
      <c r="G26">
        <v>100201366.62</v>
      </c>
      <c r="H26">
        <v>6.0832047541719454E-3</v>
      </c>
      <c r="I26">
        <v>2.0380411853830559E-2</v>
      </c>
      <c r="J26">
        <v>1.426628829768139E-2</v>
      </c>
    </row>
    <row r="27" spans="1:10" x14ac:dyDescent="0.35">
      <c r="A27" t="s">
        <v>10</v>
      </c>
      <c r="B27" t="s">
        <v>11</v>
      </c>
      <c r="C27" t="s">
        <v>96</v>
      </c>
      <c r="D27" t="s">
        <v>97</v>
      </c>
      <c r="E27" t="s">
        <v>98</v>
      </c>
      <c r="F27" t="s">
        <v>23</v>
      </c>
      <c r="G27">
        <v>99813361.519999996</v>
      </c>
      <c r="H27">
        <v>6.0596490428220769E-3</v>
      </c>
      <c r="I27">
        <v>2.0301493731192811E-2</v>
      </c>
      <c r="J27">
        <v>1.421104561183497E-2</v>
      </c>
    </row>
    <row r="28" spans="1:10" x14ac:dyDescent="0.35">
      <c r="A28" t="s">
        <v>10</v>
      </c>
      <c r="B28" t="s">
        <v>11</v>
      </c>
      <c r="C28" t="s">
        <v>99</v>
      </c>
      <c r="D28" t="s">
        <v>100</v>
      </c>
      <c r="E28" t="s">
        <v>101</v>
      </c>
      <c r="F28" t="s">
        <v>19</v>
      </c>
      <c r="G28">
        <v>98668754.50999999</v>
      </c>
      <c r="H28">
        <v>5.9901601821431968E-3</v>
      </c>
      <c r="I28">
        <v>2.006868690368668E-2</v>
      </c>
      <c r="J28">
        <v>1.404808083258067E-2</v>
      </c>
    </row>
    <row r="29" spans="1:10" x14ac:dyDescent="0.35">
      <c r="A29" t="s">
        <v>10</v>
      </c>
      <c r="B29" t="s">
        <v>11</v>
      </c>
      <c r="C29" t="s">
        <v>102</v>
      </c>
      <c r="D29" t="s">
        <v>103</v>
      </c>
      <c r="E29" t="s">
        <v>104</v>
      </c>
      <c r="F29" t="s">
        <v>68</v>
      </c>
      <c r="G29">
        <v>96186495.959999993</v>
      </c>
      <c r="H29">
        <v>5.8394627663114458E-3</v>
      </c>
      <c r="I29">
        <v>1.9563809043402141E-2</v>
      </c>
      <c r="J29">
        <v>1.3694666330381499E-2</v>
      </c>
    </row>
    <row r="30" spans="1:10" x14ac:dyDescent="0.35">
      <c r="A30" t="s">
        <v>10</v>
      </c>
      <c r="B30" t="s">
        <v>11</v>
      </c>
      <c r="C30" t="s">
        <v>105</v>
      </c>
      <c r="D30" t="s">
        <v>106</v>
      </c>
      <c r="E30" t="s">
        <v>107</v>
      </c>
      <c r="F30" t="s">
        <v>30</v>
      </c>
      <c r="G30">
        <v>95715809.019999996</v>
      </c>
      <c r="H30">
        <v>5.8108874571343441E-3</v>
      </c>
      <c r="I30">
        <v>1.946807388514029E-2</v>
      </c>
      <c r="J30">
        <v>1.36276517195982E-2</v>
      </c>
    </row>
    <row r="31" spans="1:10" x14ac:dyDescent="0.35">
      <c r="A31" t="s">
        <v>10</v>
      </c>
      <c r="B31" t="s">
        <v>11</v>
      </c>
      <c r="C31" t="s">
        <v>108</v>
      </c>
      <c r="D31" t="s">
        <v>109</v>
      </c>
      <c r="E31" t="s">
        <v>110</v>
      </c>
      <c r="F31" t="s">
        <v>15</v>
      </c>
      <c r="G31">
        <v>85441720.260000005</v>
      </c>
      <c r="H31">
        <v>5.1871496010765829E-3</v>
      </c>
      <c r="I31">
        <v>1.73783802271117E-2</v>
      </c>
      <c r="J31">
        <v>1.216486615897819E-2</v>
      </c>
    </row>
    <row r="32" spans="1:10" x14ac:dyDescent="0.35">
      <c r="A32" t="s">
        <v>10</v>
      </c>
      <c r="B32" t="s">
        <v>11</v>
      </c>
      <c r="C32" t="s">
        <v>111</v>
      </c>
      <c r="D32" t="s">
        <v>112</v>
      </c>
      <c r="E32" t="s">
        <v>113</v>
      </c>
      <c r="F32" t="s">
        <v>23</v>
      </c>
      <c r="G32">
        <v>80140406.209999993</v>
      </c>
      <c r="H32">
        <v>4.8653078945196408E-3</v>
      </c>
      <c r="I32">
        <v>1.630012184252063E-2</v>
      </c>
      <c r="J32">
        <v>1.141008528976444E-2</v>
      </c>
    </row>
    <row r="33" spans="1:10" x14ac:dyDescent="0.35">
      <c r="A33" t="s">
        <v>10</v>
      </c>
      <c r="B33" t="s">
        <v>11</v>
      </c>
      <c r="C33" t="s">
        <v>114</v>
      </c>
      <c r="D33" t="s">
        <v>115</v>
      </c>
      <c r="E33" t="s">
        <v>116</v>
      </c>
      <c r="F33" t="s">
        <v>61</v>
      </c>
      <c r="G33">
        <v>78490527.070000008</v>
      </c>
      <c r="H33">
        <v>4.7651440647555289E-3</v>
      </c>
      <c r="I33">
        <v>1.5964545417602571E-2</v>
      </c>
      <c r="J33">
        <v>1.1175181792321799E-2</v>
      </c>
    </row>
    <row r="34" spans="1:10" x14ac:dyDescent="0.35">
      <c r="A34" t="s">
        <v>10</v>
      </c>
      <c r="B34" t="s">
        <v>11</v>
      </c>
      <c r="C34" t="s">
        <v>117</v>
      </c>
      <c r="D34" t="s">
        <v>118</v>
      </c>
      <c r="E34" t="s">
        <v>119</v>
      </c>
      <c r="F34" t="s">
        <v>120</v>
      </c>
      <c r="G34">
        <v>70663718.079999998</v>
      </c>
      <c r="H34">
        <v>4.2899800698518861E-3</v>
      </c>
      <c r="I34">
        <v>1.437261512664759E-2</v>
      </c>
      <c r="J34">
        <v>1.006083058865331E-2</v>
      </c>
    </row>
    <row r="35" spans="1:10" x14ac:dyDescent="0.35">
      <c r="A35" t="s">
        <v>10</v>
      </c>
      <c r="B35" t="s">
        <v>11</v>
      </c>
      <c r="C35" t="s">
        <v>121</v>
      </c>
      <c r="D35" t="s">
        <v>122</v>
      </c>
      <c r="E35" t="s">
        <v>123</v>
      </c>
      <c r="F35" t="s">
        <v>124</v>
      </c>
      <c r="G35">
        <v>69266602.489999995</v>
      </c>
      <c r="H35">
        <v>4.2051614642190224E-3</v>
      </c>
      <c r="I35">
        <v>1.408844943018967E-2</v>
      </c>
      <c r="J35">
        <v>9.861914601132768E-3</v>
      </c>
    </row>
    <row r="36" spans="1:10" x14ac:dyDescent="0.35">
      <c r="A36" t="s">
        <v>10</v>
      </c>
      <c r="B36" t="s">
        <v>11</v>
      </c>
      <c r="C36" t="s">
        <v>125</v>
      </c>
      <c r="D36" t="s">
        <v>126</v>
      </c>
      <c r="E36" t="s">
        <v>127</v>
      </c>
      <c r="F36" t="s">
        <v>34</v>
      </c>
      <c r="G36">
        <v>65131929.130000003</v>
      </c>
      <c r="H36">
        <v>3.9541462786089714E-3</v>
      </c>
      <c r="I36">
        <v>1.324747940352896E-2</v>
      </c>
      <c r="J36">
        <v>9.2732355824702694E-3</v>
      </c>
    </row>
    <row r="37" spans="1:10" x14ac:dyDescent="0.35">
      <c r="A37" t="s">
        <v>10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>
        <v>905800559.92999995</v>
      </c>
      <c r="H37">
        <v>2.9947624821845539E-2</v>
      </c>
      <c r="I37">
        <v>0.1213667727622819</v>
      </c>
      <c r="J37">
        <v>3.6410031828684561E-2</v>
      </c>
    </row>
    <row r="38" spans="1:10" x14ac:dyDescent="0.35">
      <c r="A38" t="s">
        <v>10</v>
      </c>
      <c r="B38" t="s">
        <v>128</v>
      </c>
      <c r="C38" t="s">
        <v>133</v>
      </c>
      <c r="D38" t="s">
        <v>134</v>
      </c>
      <c r="E38" t="s">
        <v>135</v>
      </c>
      <c r="F38" t="s">
        <v>132</v>
      </c>
      <c r="G38">
        <v>832865606.57000005</v>
      </c>
      <c r="H38">
        <v>2.753624563281868E-2</v>
      </c>
      <c r="I38">
        <v>0.1115943346534395</v>
      </c>
      <c r="J38">
        <v>3.3478300396031828E-2</v>
      </c>
    </row>
    <row r="39" spans="1:10" x14ac:dyDescent="0.35">
      <c r="A39" t="s">
        <v>10</v>
      </c>
      <c r="B39" t="s">
        <v>128</v>
      </c>
      <c r="C39" t="s">
        <v>136</v>
      </c>
      <c r="D39" t="s">
        <v>137</v>
      </c>
      <c r="E39" t="s">
        <v>138</v>
      </c>
      <c r="F39" t="s">
        <v>132</v>
      </c>
      <c r="G39">
        <v>809126442.03999996</v>
      </c>
      <c r="H39">
        <v>2.6751380150969731E-2</v>
      </c>
      <c r="I39">
        <v>0.1084135618492124</v>
      </c>
      <c r="J39">
        <v>3.2524068554763731E-2</v>
      </c>
    </row>
    <row r="40" spans="1:10" x14ac:dyDescent="0.35">
      <c r="A40" t="s">
        <v>10</v>
      </c>
      <c r="B40" t="s">
        <v>128</v>
      </c>
      <c r="C40" t="s">
        <v>139</v>
      </c>
      <c r="D40" t="s">
        <v>140</v>
      </c>
      <c r="E40" t="s">
        <v>141</v>
      </c>
      <c r="F40" t="s">
        <v>61</v>
      </c>
      <c r="G40">
        <v>713464004.85000002</v>
      </c>
      <c r="H40">
        <v>2.3588583719566691E-2</v>
      </c>
      <c r="I40">
        <v>9.5595904420051642E-2</v>
      </c>
      <c r="J40">
        <v>2.8678771326015491E-2</v>
      </c>
    </row>
    <row r="41" spans="1:10" x14ac:dyDescent="0.35">
      <c r="A41" t="s">
        <v>10</v>
      </c>
      <c r="B41" t="s">
        <v>128</v>
      </c>
      <c r="C41" t="s">
        <v>142</v>
      </c>
      <c r="D41" t="s">
        <v>143</v>
      </c>
      <c r="E41" t="s">
        <v>144</v>
      </c>
      <c r="F41" t="s">
        <v>30</v>
      </c>
      <c r="G41">
        <v>556682073.77999997</v>
      </c>
      <c r="H41">
        <v>1.8405051429752631E-2</v>
      </c>
      <c r="I41">
        <v>7.4588943458496343E-2</v>
      </c>
      <c r="J41">
        <v>2.2376683037548899E-2</v>
      </c>
    </row>
    <row r="42" spans="1:10" x14ac:dyDescent="0.35">
      <c r="A42" t="s">
        <v>10</v>
      </c>
      <c r="B42" t="s">
        <v>128</v>
      </c>
      <c r="C42" t="s">
        <v>145</v>
      </c>
      <c r="D42" t="s">
        <v>146</v>
      </c>
      <c r="E42" t="s">
        <v>147</v>
      </c>
      <c r="F42" t="s">
        <v>19</v>
      </c>
      <c r="G42">
        <v>523010381.36000001</v>
      </c>
      <c r="H42">
        <v>1.7291796198613589E-2</v>
      </c>
      <c r="I42">
        <v>7.0077327079306431E-2</v>
      </c>
      <c r="J42">
        <v>2.1023198123791931E-2</v>
      </c>
    </row>
    <row r="43" spans="1:10" x14ac:dyDescent="0.35">
      <c r="A43" t="s">
        <v>10</v>
      </c>
      <c r="B43" t="s">
        <v>128</v>
      </c>
      <c r="C43" t="s">
        <v>148</v>
      </c>
      <c r="D43" t="s">
        <v>149</v>
      </c>
      <c r="E43" t="s">
        <v>150</v>
      </c>
      <c r="F43" t="s">
        <v>19</v>
      </c>
      <c r="G43">
        <v>507049236.01999998</v>
      </c>
      <c r="H43">
        <v>1.676408798831374E-2</v>
      </c>
      <c r="I43">
        <v>6.7938718664607239E-2</v>
      </c>
      <c r="J43">
        <v>2.0381615599382171E-2</v>
      </c>
    </row>
    <row r="44" spans="1:10" x14ac:dyDescent="0.35">
      <c r="A44" t="s">
        <v>10</v>
      </c>
      <c r="B44" t="s">
        <v>128</v>
      </c>
      <c r="C44" t="s">
        <v>151</v>
      </c>
      <c r="D44" t="s">
        <v>152</v>
      </c>
      <c r="E44" t="s">
        <v>153</v>
      </c>
      <c r="F44" t="s">
        <v>154</v>
      </c>
      <c r="G44">
        <v>425102643.92000002</v>
      </c>
      <c r="H44">
        <v>1.405476553456159E-2</v>
      </c>
      <c r="I44">
        <v>5.6958825449689492E-2</v>
      </c>
      <c r="J44">
        <v>1.708764763490685E-2</v>
      </c>
    </row>
    <row r="45" spans="1:10" x14ac:dyDescent="0.35">
      <c r="A45" t="s">
        <v>10</v>
      </c>
      <c r="B45" t="s">
        <v>128</v>
      </c>
      <c r="C45" t="s">
        <v>155</v>
      </c>
      <c r="D45" t="s">
        <v>156</v>
      </c>
      <c r="E45" t="s">
        <v>157</v>
      </c>
      <c r="F45" t="s">
        <v>61</v>
      </c>
      <c r="G45">
        <v>416844685.43000001</v>
      </c>
      <c r="H45">
        <v>1.3781740485126859E-2</v>
      </c>
      <c r="I45">
        <v>5.5852354758598677E-2</v>
      </c>
      <c r="J45">
        <v>1.6755706427579609E-2</v>
      </c>
    </row>
    <row r="46" spans="1:10" x14ac:dyDescent="0.35">
      <c r="A46" t="s">
        <v>10</v>
      </c>
      <c r="B46" t="s">
        <v>128</v>
      </c>
      <c r="C46" t="s">
        <v>158</v>
      </c>
      <c r="D46" t="s">
        <v>159</v>
      </c>
      <c r="E46" t="s">
        <v>160</v>
      </c>
      <c r="F46" t="s">
        <v>38</v>
      </c>
      <c r="G46">
        <v>362944516.57999998</v>
      </c>
      <c r="H46">
        <v>1.199969032313682E-2</v>
      </c>
      <c r="I46">
        <v>4.8630357076049097E-2</v>
      </c>
      <c r="J46">
        <v>1.4589107122814729E-2</v>
      </c>
    </row>
    <row r="47" spans="1:10" x14ac:dyDescent="0.35">
      <c r="A47" t="s">
        <v>10</v>
      </c>
      <c r="B47" t="s">
        <v>128</v>
      </c>
      <c r="C47" t="s">
        <v>161</v>
      </c>
      <c r="D47" t="s">
        <v>162</v>
      </c>
      <c r="E47" t="s">
        <v>163</v>
      </c>
      <c r="F47" t="s">
        <v>34</v>
      </c>
      <c r="G47">
        <v>325529724.55000001</v>
      </c>
      <c r="H47">
        <v>1.076268053967146E-2</v>
      </c>
      <c r="I47">
        <v>4.3617208748337792E-2</v>
      </c>
      <c r="J47">
        <v>1.308516262450134E-2</v>
      </c>
    </row>
    <row r="48" spans="1:10" x14ac:dyDescent="0.35">
      <c r="A48" t="s">
        <v>10</v>
      </c>
      <c r="B48" t="s">
        <v>128</v>
      </c>
      <c r="C48" t="s">
        <v>164</v>
      </c>
      <c r="D48" t="s">
        <v>165</v>
      </c>
      <c r="E48" t="s">
        <v>166</v>
      </c>
      <c r="F48" t="s">
        <v>38</v>
      </c>
      <c r="G48">
        <v>319162528.54000002</v>
      </c>
      <c r="H48">
        <v>1.0552167976851479E-2</v>
      </c>
      <c r="I48">
        <v>4.2764078307197091E-2</v>
      </c>
      <c r="J48">
        <v>1.282922349215913E-2</v>
      </c>
    </row>
    <row r="49" spans="1:10" x14ac:dyDescent="0.35">
      <c r="A49" t="s">
        <v>10</v>
      </c>
      <c r="B49" t="s">
        <v>128</v>
      </c>
      <c r="C49" t="s">
        <v>167</v>
      </c>
      <c r="D49" t="s">
        <v>168</v>
      </c>
      <c r="E49" t="s">
        <v>169</v>
      </c>
      <c r="F49" t="s">
        <v>38</v>
      </c>
      <c r="G49">
        <v>309049197.52999997</v>
      </c>
      <c r="H49">
        <v>1.0217800505484469E-2</v>
      </c>
      <c r="I49">
        <v>4.1409009210468709E-2</v>
      </c>
      <c r="J49">
        <v>1.242270276314061E-2</v>
      </c>
    </row>
    <row r="50" spans="1:10" x14ac:dyDescent="0.35">
      <c r="A50" t="s">
        <v>10</v>
      </c>
      <c r="B50" t="s">
        <v>128</v>
      </c>
      <c r="C50" t="s">
        <v>170</v>
      </c>
      <c r="D50" t="s">
        <v>171</v>
      </c>
      <c r="E50" t="s">
        <v>172</v>
      </c>
      <c r="F50" t="s">
        <v>23</v>
      </c>
      <c r="G50">
        <v>240190668.31</v>
      </c>
      <c r="H50">
        <v>7.9411962615833533E-3</v>
      </c>
      <c r="I50">
        <v>3.218276467244973E-2</v>
      </c>
      <c r="J50">
        <v>9.6548294017349181E-3</v>
      </c>
    </row>
    <row r="51" spans="1:10" x14ac:dyDescent="0.35">
      <c r="A51" t="s">
        <v>10</v>
      </c>
      <c r="B51" t="s">
        <v>128</v>
      </c>
      <c r="C51" t="s">
        <v>173</v>
      </c>
      <c r="D51" t="s">
        <v>174</v>
      </c>
      <c r="E51" t="s">
        <v>175</v>
      </c>
      <c r="F51" t="s">
        <v>15</v>
      </c>
      <c r="G51">
        <v>216510068.71000001</v>
      </c>
      <c r="H51">
        <v>7.1582670564700893E-3</v>
      </c>
      <c r="I51">
        <v>2.9009838889814E-2</v>
      </c>
      <c r="J51">
        <v>8.7029516669442E-3</v>
      </c>
    </row>
    <row r="52" spans="1:10" x14ac:dyDescent="0.35">
      <c r="A52" t="s">
        <v>176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>
        <v>399627922.77999997</v>
      </c>
      <c r="H52">
        <v>2.4261330576203222E-2</v>
      </c>
      <c r="I52">
        <v>9.9422564149613007E-2</v>
      </c>
      <c r="J52">
        <v>4.9711282074806497E-2</v>
      </c>
    </row>
    <row r="53" spans="1:10" x14ac:dyDescent="0.35">
      <c r="A53" t="s">
        <v>176</v>
      </c>
      <c r="B53" t="s">
        <v>11</v>
      </c>
      <c r="C53" t="s">
        <v>16</v>
      </c>
      <c r="D53" t="s">
        <v>17</v>
      </c>
      <c r="E53" t="s">
        <v>18</v>
      </c>
      <c r="F53" t="s">
        <v>19</v>
      </c>
      <c r="G53">
        <v>366171785.36000001</v>
      </c>
      <c r="H53">
        <v>2.2230215222443651E-2</v>
      </c>
      <c r="I53">
        <v>9.1099084284395032E-2</v>
      </c>
      <c r="J53">
        <v>4.5549542142197523E-2</v>
      </c>
    </row>
    <row r="54" spans="1:10" x14ac:dyDescent="0.35">
      <c r="A54" t="s">
        <v>176</v>
      </c>
      <c r="B54" t="s">
        <v>11</v>
      </c>
      <c r="C54" t="s">
        <v>20</v>
      </c>
      <c r="D54" t="s">
        <v>21</v>
      </c>
      <c r="E54" t="s">
        <v>22</v>
      </c>
      <c r="F54" t="s">
        <v>23</v>
      </c>
      <c r="G54">
        <v>299117163.92000002</v>
      </c>
      <c r="H54">
        <v>1.815934268155367E-2</v>
      </c>
      <c r="I54">
        <v>7.4416710452082674E-2</v>
      </c>
      <c r="J54">
        <v>3.7208355226041337E-2</v>
      </c>
    </row>
    <row r="55" spans="1:10" x14ac:dyDescent="0.35">
      <c r="A55" t="s">
        <v>176</v>
      </c>
      <c r="B55" t="s">
        <v>11</v>
      </c>
      <c r="C55" t="s">
        <v>24</v>
      </c>
      <c r="D55" t="s">
        <v>25</v>
      </c>
      <c r="E55" t="s">
        <v>26</v>
      </c>
      <c r="F55" t="s">
        <v>19</v>
      </c>
      <c r="G55">
        <v>243405852.05000001</v>
      </c>
      <c r="H55">
        <v>1.4777120176405759E-2</v>
      </c>
      <c r="I55">
        <v>6.0556414005021243E-2</v>
      </c>
      <c r="J55">
        <v>3.0278207002510622E-2</v>
      </c>
    </row>
    <row r="56" spans="1:10" x14ac:dyDescent="0.35">
      <c r="A56" t="s">
        <v>176</v>
      </c>
      <c r="B56" t="s">
        <v>11</v>
      </c>
      <c r="C56" t="s">
        <v>27</v>
      </c>
      <c r="D56" t="s">
        <v>28</v>
      </c>
      <c r="E56" t="s">
        <v>29</v>
      </c>
      <c r="F56" t="s">
        <v>30</v>
      </c>
      <c r="G56">
        <v>178614150.91999999</v>
      </c>
      <c r="H56">
        <v>1.084362907104359E-2</v>
      </c>
      <c r="I56">
        <v>4.443702720855295E-2</v>
      </c>
      <c r="J56">
        <v>2.2218513604276471E-2</v>
      </c>
    </row>
    <row r="57" spans="1:10" x14ac:dyDescent="0.35">
      <c r="A57" t="s">
        <v>176</v>
      </c>
      <c r="B57" t="s">
        <v>11</v>
      </c>
      <c r="C57" t="s">
        <v>31</v>
      </c>
      <c r="D57" t="s">
        <v>32</v>
      </c>
      <c r="E57" t="s">
        <v>33</v>
      </c>
      <c r="F57" t="s">
        <v>34</v>
      </c>
      <c r="G57">
        <v>166449716.81</v>
      </c>
      <c r="H57">
        <v>1.0105128730121159E-2</v>
      </c>
      <c r="I57">
        <v>4.1410664029944401E-2</v>
      </c>
      <c r="J57">
        <v>2.07053320149722E-2</v>
      </c>
    </row>
    <row r="58" spans="1:10" x14ac:dyDescent="0.35">
      <c r="A58" t="s">
        <v>176</v>
      </c>
      <c r="B58" t="s">
        <v>11</v>
      </c>
      <c r="C58" t="s">
        <v>35</v>
      </c>
      <c r="D58" t="s">
        <v>36</v>
      </c>
      <c r="E58" t="s">
        <v>37</v>
      </c>
      <c r="F58" t="s">
        <v>38</v>
      </c>
      <c r="G58">
        <v>166128375.28999999</v>
      </c>
      <c r="H58">
        <v>1.008562015126525E-2</v>
      </c>
      <c r="I58">
        <v>4.13307181701459E-2</v>
      </c>
      <c r="J58">
        <v>2.066535908507295E-2</v>
      </c>
    </row>
    <row r="59" spans="1:10" x14ac:dyDescent="0.35">
      <c r="A59" t="s">
        <v>176</v>
      </c>
      <c r="B59" t="s">
        <v>11</v>
      </c>
      <c r="C59" t="s">
        <v>39</v>
      </c>
      <c r="D59" t="s">
        <v>40</v>
      </c>
      <c r="E59" t="s">
        <v>41</v>
      </c>
      <c r="F59" t="s">
        <v>30</v>
      </c>
      <c r="G59">
        <v>162664576.12</v>
      </c>
      <c r="H59">
        <v>9.8753336023966118E-3</v>
      </c>
      <c r="I59">
        <v>4.0468967087326092E-2</v>
      </c>
      <c r="J59">
        <v>2.0234483543663039E-2</v>
      </c>
    </row>
    <row r="60" spans="1:10" x14ac:dyDescent="0.35">
      <c r="A60" t="s">
        <v>176</v>
      </c>
      <c r="B60" t="s">
        <v>11</v>
      </c>
      <c r="C60" t="s">
        <v>42</v>
      </c>
      <c r="D60" t="s">
        <v>43</v>
      </c>
      <c r="E60" t="s">
        <v>44</v>
      </c>
      <c r="F60" t="s">
        <v>38</v>
      </c>
      <c r="G60">
        <v>158999930.11000001</v>
      </c>
      <c r="H60">
        <v>9.652853682387821E-3</v>
      </c>
      <c r="I60">
        <v>3.9557247754802301E-2</v>
      </c>
      <c r="J60">
        <v>1.977862387740115E-2</v>
      </c>
    </row>
    <row r="61" spans="1:10" x14ac:dyDescent="0.35">
      <c r="A61" t="s">
        <v>176</v>
      </c>
      <c r="B61" t="s">
        <v>11</v>
      </c>
      <c r="C61" t="s">
        <v>45</v>
      </c>
      <c r="D61" t="s">
        <v>46</v>
      </c>
      <c r="E61" t="s">
        <v>47</v>
      </c>
      <c r="F61" t="s">
        <v>15</v>
      </c>
      <c r="G61">
        <v>151124561.53999999</v>
      </c>
      <c r="H61">
        <v>9.1747416451781593E-3</v>
      </c>
      <c r="I61">
        <v>3.7597951889273611E-2</v>
      </c>
      <c r="J61">
        <v>1.8798975944636809E-2</v>
      </c>
    </row>
    <row r="62" spans="1:10" x14ac:dyDescent="0.35">
      <c r="A62" t="s">
        <v>176</v>
      </c>
      <c r="B62" t="s">
        <v>11</v>
      </c>
      <c r="C62" t="s">
        <v>48</v>
      </c>
      <c r="D62" t="s">
        <v>49</v>
      </c>
      <c r="E62" t="s">
        <v>50</v>
      </c>
      <c r="F62" t="s">
        <v>51</v>
      </c>
      <c r="G62">
        <v>150990548.13</v>
      </c>
      <c r="H62">
        <v>9.166605718091192E-3</v>
      </c>
      <c r="I62">
        <v>3.7564610983663337E-2</v>
      </c>
      <c r="J62">
        <v>1.8782305491831668E-2</v>
      </c>
    </row>
    <row r="63" spans="1:10" x14ac:dyDescent="0.35">
      <c r="A63" t="s">
        <v>176</v>
      </c>
      <c r="B63" t="s">
        <v>11</v>
      </c>
      <c r="C63" t="s">
        <v>52</v>
      </c>
      <c r="D63" t="s">
        <v>53</v>
      </c>
      <c r="E63" t="s">
        <v>54</v>
      </c>
      <c r="F63" t="s">
        <v>15</v>
      </c>
      <c r="G63">
        <v>144776575.13999999</v>
      </c>
      <c r="H63">
        <v>8.7893566713948667E-3</v>
      </c>
      <c r="I63">
        <v>3.6018650121057788E-2</v>
      </c>
      <c r="J63">
        <v>1.8009325060528891E-2</v>
      </c>
    </row>
    <row r="64" spans="1:10" x14ac:dyDescent="0.35">
      <c r="A64" t="s">
        <v>176</v>
      </c>
      <c r="B64" t="s">
        <v>11</v>
      </c>
      <c r="C64" t="s">
        <v>55</v>
      </c>
      <c r="D64" t="s">
        <v>56</v>
      </c>
      <c r="E64" t="s">
        <v>57</v>
      </c>
      <c r="F64" t="s">
        <v>38</v>
      </c>
      <c r="G64">
        <v>132368241.48</v>
      </c>
      <c r="H64">
        <v>8.0360492379930783E-3</v>
      </c>
      <c r="I64">
        <v>3.2931607702402013E-2</v>
      </c>
      <c r="J64">
        <v>1.646580385120101E-2</v>
      </c>
    </row>
    <row r="65" spans="1:10" x14ac:dyDescent="0.35">
      <c r="A65" t="s">
        <v>176</v>
      </c>
      <c r="B65" t="s">
        <v>11</v>
      </c>
      <c r="C65" t="s">
        <v>58</v>
      </c>
      <c r="D65" t="s">
        <v>59</v>
      </c>
      <c r="E65" t="s">
        <v>60</v>
      </c>
      <c r="F65" t="s">
        <v>61</v>
      </c>
      <c r="G65">
        <v>131166680.92</v>
      </c>
      <c r="H65">
        <v>7.9631027387827708E-3</v>
      </c>
      <c r="I65">
        <v>3.2632674056761818E-2</v>
      </c>
      <c r="J65">
        <v>1.6316337028380909E-2</v>
      </c>
    </row>
    <row r="66" spans="1:10" x14ac:dyDescent="0.35">
      <c r="A66" t="s">
        <v>176</v>
      </c>
      <c r="B66" t="s">
        <v>11</v>
      </c>
      <c r="C66" t="s">
        <v>62</v>
      </c>
      <c r="D66" t="s">
        <v>63</v>
      </c>
      <c r="E66" t="s">
        <v>64</v>
      </c>
      <c r="F66" t="s">
        <v>19</v>
      </c>
      <c r="G66">
        <v>131086786.5</v>
      </c>
      <c r="H66">
        <v>7.9582523646614389E-3</v>
      </c>
      <c r="I66">
        <v>3.2612797297294188E-2</v>
      </c>
      <c r="J66">
        <v>1.6306398648647091E-2</v>
      </c>
    </row>
    <row r="67" spans="1:10" x14ac:dyDescent="0.35">
      <c r="A67" t="s">
        <v>176</v>
      </c>
      <c r="B67" t="s">
        <v>11</v>
      </c>
      <c r="C67" t="s">
        <v>65</v>
      </c>
      <c r="D67" t="s">
        <v>66</v>
      </c>
      <c r="E67" t="s">
        <v>67</v>
      </c>
      <c r="F67" t="s">
        <v>68</v>
      </c>
      <c r="G67">
        <v>122143598.7</v>
      </c>
      <c r="H67">
        <v>7.4153132374065239E-3</v>
      </c>
      <c r="I67">
        <v>3.0387841001542491E-2</v>
      </c>
      <c r="J67">
        <v>1.519392050077124E-2</v>
      </c>
    </row>
    <row r="68" spans="1:10" x14ac:dyDescent="0.35">
      <c r="A68" t="s">
        <v>176</v>
      </c>
      <c r="B68" t="s">
        <v>11</v>
      </c>
      <c r="C68" t="s">
        <v>69</v>
      </c>
      <c r="D68" t="s">
        <v>70</v>
      </c>
      <c r="E68" t="s">
        <v>71</v>
      </c>
      <c r="F68" t="s">
        <v>19</v>
      </c>
      <c r="G68">
        <v>118552234.94</v>
      </c>
      <c r="H68">
        <v>7.1972822680122176E-3</v>
      </c>
      <c r="I68">
        <v>2.9494353401053261E-2</v>
      </c>
      <c r="J68">
        <v>1.474717670052663E-2</v>
      </c>
    </row>
    <row r="69" spans="1:10" x14ac:dyDescent="0.35">
      <c r="A69" t="s">
        <v>176</v>
      </c>
      <c r="B69" t="s">
        <v>11</v>
      </c>
      <c r="C69" t="s">
        <v>72</v>
      </c>
      <c r="D69" t="s">
        <v>73</v>
      </c>
      <c r="E69" t="s">
        <v>74</v>
      </c>
      <c r="F69" t="s">
        <v>38</v>
      </c>
      <c r="G69">
        <v>113136953.84999999</v>
      </c>
      <c r="H69">
        <v>6.8685216454471149E-3</v>
      </c>
      <c r="I69">
        <v>2.814709736395421E-2</v>
      </c>
      <c r="J69">
        <v>1.40735486819771E-2</v>
      </c>
    </row>
    <row r="70" spans="1:10" x14ac:dyDescent="0.35">
      <c r="A70" t="s">
        <v>176</v>
      </c>
      <c r="B70" t="s">
        <v>11</v>
      </c>
      <c r="C70" t="s">
        <v>75</v>
      </c>
      <c r="D70" t="s">
        <v>76</v>
      </c>
      <c r="E70" t="s">
        <v>77</v>
      </c>
      <c r="F70" t="s">
        <v>30</v>
      </c>
      <c r="G70">
        <v>112366772.53</v>
      </c>
      <c r="H70">
        <v>6.8217640928763361E-3</v>
      </c>
      <c r="I70">
        <v>2.7955485623808889E-2</v>
      </c>
      <c r="J70">
        <v>1.3977742811904441E-2</v>
      </c>
    </row>
    <row r="71" spans="1:10" x14ac:dyDescent="0.35">
      <c r="A71" t="s">
        <v>176</v>
      </c>
      <c r="B71" t="s">
        <v>11</v>
      </c>
      <c r="C71" t="s">
        <v>78</v>
      </c>
      <c r="D71" t="s">
        <v>79</v>
      </c>
      <c r="E71" t="s">
        <v>80</v>
      </c>
      <c r="F71" t="s">
        <v>19</v>
      </c>
      <c r="G71">
        <v>112256692.86</v>
      </c>
      <c r="H71">
        <v>6.8150811783166858E-3</v>
      </c>
      <c r="I71">
        <v>2.7928099141462989E-2</v>
      </c>
      <c r="J71">
        <v>1.3964049570731491E-2</v>
      </c>
    </row>
    <row r="72" spans="1:10" x14ac:dyDescent="0.35">
      <c r="A72" t="s">
        <v>176</v>
      </c>
      <c r="B72" t="s">
        <v>11</v>
      </c>
      <c r="C72" t="s">
        <v>81</v>
      </c>
      <c r="D72" t="s">
        <v>82</v>
      </c>
      <c r="E72" t="s">
        <v>83</v>
      </c>
      <c r="F72" t="s">
        <v>30</v>
      </c>
      <c r="G72">
        <v>107333787.78</v>
      </c>
      <c r="H72">
        <v>6.5162126039931111E-3</v>
      </c>
      <c r="I72">
        <v>2.6703340263970331E-2</v>
      </c>
      <c r="J72">
        <v>1.335167013198516E-2</v>
      </c>
    </row>
    <row r="73" spans="1:10" x14ac:dyDescent="0.35">
      <c r="A73" t="s">
        <v>176</v>
      </c>
      <c r="B73" t="s">
        <v>11</v>
      </c>
      <c r="C73" t="s">
        <v>84</v>
      </c>
      <c r="D73" t="s">
        <v>85</v>
      </c>
      <c r="E73" t="s">
        <v>86</v>
      </c>
      <c r="F73" t="s">
        <v>38</v>
      </c>
      <c r="G73">
        <v>103435800.63</v>
      </c>
      <c r="H73">
        <v>6.2795665904461437E-3</v>
      </c>
      <c r="I73">
        <v>2.5733568495322941E-2</v>
      </c>
      <c r="J73">
        <v>1.286678424766147E-2</v>
      </c>
    </row>
    <row r="74" spans="1:10" x14ac:dyDescent="0.35">
      <c r="A74" t="s">
        <v>176</v>
      </c>
      <c r="B74" t="s">
        <v>11</v>
      </c>
      <c r="C74" t="s">
        <v>96</v>
      </c>
      <c r="D74" t="s">
        <v>97</v>
      </c>
      <c r="E74" t="s">
        <v>98</v>
      </c>
      <c r="F74" t="s">
        <v>23</v>
      </c>
      <c r="G74">
        <v>99813361.519999996</v>
      </c>
      <c r="H74">
        <v>6.0596490428220769E-3</v>
      </c>
      <c r="I74">
        <v>2.4832349725906991E-2</v>
      </c>
      <c r="J74">
        <v>1.2416174862953501E-2</v>
      </c>
    </row>
    <row r="75" spans="1:10" x14ac:dyDescent="0.35">
      <c r="A75" t="s">
        <v>176</v>
      </c>
      <c r="B75" t="s">
        <v>11</v>
      </c>
      <c r="C75" t="s">
        <v>114</v>
      </c>
      <c r="D75" t="s">
        <v>115</v>
      </c>
      <c r="E75" t="s">
        <v>116</v>
      </c>
      <c r="F75" t="s">
        <v>61</v>
      </c>
      <c r="G75">
        <v>78490527.070000008</v>
      </c>
      <c r="H75">
        <v>4.7651440647555289E-3</v>
      </c>
      <c r="I75">
        <v>1.9527487990497749E-2</v>
      </c>
      <c r="J75">
        <v>9.7637439952488747E-3</v>
      </c>
    </row>
    <row r="76" spans="1:10" x14ac:dyDescent="0.35">
      <c r="A76" t="s">
        <v>176</v>
      </c>
      <c r="B76" t="s">
        <v>11</v>
      </c>
      <c r="C76" t="s">
        <v>121</v>
      </c>
      <c r="D76" t="s">
        <v>122</v>
      </c>
      <c r="E76" t="s">
        <v>123</v>
      </c>
      <c r="F76" t="s">
        <v>124</v>
      </c>
      <c r="G76">
        <v>69266602.489999995</v>
      </c>
      <c r="H76">
        <v>4.2051614642190224E-3</v>
      </c>
      <c r="I76">
        <v>1.723268780014393E-2</v>
      </c>
      <c r="J76">
        <v>8.6163439000719669E-3</v>
      </c>
    </row>
    <row r="77" spans="1:10" x14ac:dyDescent="0.35">
      <c r="A77" t="s">
        <v>176</v>
      </c>
      <c r="B77" t="s">
        <v>128</v>
      </c>
      <c r="C77" t="s">
        <v>129</v>
      </c>
      <c r="D77" t="s">
        <v>130</v>
      </c>
      <c r="E77" t="s">
        <v>131</v>
      </c>
      <c r="F77" t="s">
        <v>132</v>
      </c>
      <c r="G77">
        <v>905800559.92999995</v>
      </c>
      <c r="H77">
        <v>2.9947624821845539E-2</v>
      </c>
      <c r="I77">
        <v>7.6310658937305875E-2</v>
      </c>
      <c r="J77">
        <v>3.8155329468652938E-2</v>
      </c>
    </row>
    <row r="78" spans="1:10" x14ac:dyDescent="0.35">
      <c r="A78" t="s">
        <v>176</v>
      </c>
      <c r="B78" t="s">
        <v>128</v>
      </c>
      <c r="C78" t="s">
        <v>133</v>
      </c>
      <c r="D78" t="s">
        <v>134</v>
      </c>
      <c r="E78" t="s">
        <v>135</v>
      </c>
      <c r="F78" t="s">
        <v>132</v>
      </c>
      <c r="G78">
        <v>832865606.57000005</v>
      </c>
      <c r="H78">
        <v>2.753624563281868E-2</v>
      </c>
      <c r="I78">
        <v>7.0166133755191415E-2</v>
      </c>
      <c r="J78">
        <v>3.5083066877595707E-2</v>
      </c>
    </row>
    <row r="79" spans="1:10" x14ac:dyDescent="0.35">
      <c r="A79" t="s">
        <v>176</v>
      </c>
      <c r="B79" t="s">
        <v>128</v>
      </c>
      <c r="C79" t="s">
        <v>136</v>
      </c>
      <c r="D79" t="s">
        <v>137</v>
      </c>
      <c r="E79" t="s">
        <v>138</v>
      </c>
      <c r="F79" t="s">
        <v>132</v>
      </c>
      <c r="G79">
        <v>809126442.03999996</v>
      </c>
      <c r="H79">
        <v>2.6751380150969731E-2</v>
      </c>
      <c r="I79">
        <v>6.8166188769459207E-2</v>
      </c>
      <c r="J79">
        <v>3.4083094384729597E-2</v>
      </c>
    </row>
    <row r="80" spans="1:10" x14ac:dyDescent="0.35">
      <c r="A80" t="s">
        <v>176</v>
      </c>
      <c r="B80" t="s">
        <v>128</v>
      </c>
      <c r="C80" t="s">
        <v>177</v>
      </c>
      <c r="D80" t="s">
        <v>178</v>
      </c>
      <c r="E80" t="s">
        <v>179</v>
      </c>
      <c r="F80" t="s">
        <v>132</v>
      </c>
      <c r="G80">
        <v>754039548.25</v>
      </c>
      <c r="H80">
        <v>2.4930094427817531E-2</v>
      </c>
      <c r="I80">
        <v>6.3525302740144826E-2</v>
      </c>
      <c r="J80">
        <v>3.1762651370072413E-2</v>
      </c>
    </row>
    <row r="81" spans="1:10" x14ac:dyDescent="0.35">
      <c r="A81" t="s">
        <v>176</v>
      </c>
      <c r="B81" t="s">
        <v>128</v>
      </c>
      <c r="C81" t="s">
        <v>139</v>
      </c>
      <c r="D81" t="s">
        <v>140</v>
      </c>
      <c r="E81" t="s">
        <v>141</v>
      </c>
      <c r="F81" t="s">
        <v>61</v>
      </c>
      <c r="G81">
        <v>713464004.85000002</v>
      </c>
      <c r="H81">
        <v>2.3588583719566691E-2</v>
      </c>
      <c r="I81">
        <v>6.0106949307207523E-2</v>
      </c>
      <c r="J81">
        <v>3.0053474653603762E-2</v>
      </c>
    </row>
    <row r="82" spans="1:10" x14ac:dyDescent="0.35">
      <c r="A82" t="s">
        <v>176</v>
      </c>
      <c r="B82" t="s">
        <v>128</v>
      </c>
      <c r="C82" t="s">
        <v>180</v>
      </c>
      <c r="D82" t="s">
        <v>181</v>
      </c>
      <c r="E82" t="s">
        <v>182</v>
      </c>
      <c r="F82" t="s">
        <v>132</v>
      </c>
      <c r="G82">
        <v>591434812.02999997</v>
      </c>
      <c r="H82">
        <v>1.955404825386944E-2</v>
      </c>
      <c r="I82">
        <v>4.982639912251631E-2</v>
      </c>
      <c r="J82">
        <v>2.4913199561258152E-2</v>
      </c>
    </row>
    <row r="83" spans="1:10" x14ac:dyDescent="0.35">
      <c r="A83" t="s">
        <v>176</v>
      </c>
      <c r="B83" t="s">
        <v>128</v>
      </c>
      <c r="C83" t="s">
        <v>142</v>
      </c>
      <c r="D83" t="s">
        <v>143</v>
      </c>
      <c r="E83" t="s">
        <v>144</v>
      </c>
      <c r="F83" t="s">
        <v>30</v>
      </c>
      <c r="G83">
        <v>556682073.77999997</v>
      </c>
      <c r="H83">
        <v>1.8405051429752631E-2</v>
      </c>
      <c r="I83">
        <v>4.6898597492609877E-2</v>
      </c>
      <c r="J83">
        <v>2.3449298746304938E-2</v>
      </c>
    </row>
    <row r="84" spans="1:10" x14ac:dyDescent="0.35">
      <c r="A84" t="s">
        <v>176</v>
      </c>
      <c r="B84" t="s">
        <v>128</v>
      </c>
      <c r="C84" t="s">
        <v>145</v>
      </c>
      <c r="D84" t="s">
        <v>146</v>
      </c>
      <c r="E84" t="s">
        <v>147</v>
      </c>
      <c r="F84" t="s">
        <v>19</v>
      </c>
      <c r="G84">
        <v>523010381.36000001</v>
      </c>
      <c r="H84">
        <v>1.7291796198613589E-2</v>
      </c>
      <c r="I84">
        <v>4.406187034783636E-2</v>
      </c>
      <c r="J84">
        <v>2.203093517391818E-2</v>
      </c>
    </row>
    <row r="85" spans="1:10" x14ac:dyDescent="0.35">
      <c r="A85" t="s">
        <v>176</v>
      </c>
      <c r="B85" t="s">
        <v>128</v>
      </c>
      <c r="C85" t="s">
        <v>183</v>
      </c>
      <c r="D85" t="s">
        <v>184</v>
      </c>
      <c r="E85" t="s">
        <v>185</v>
      </c>
      <c r="F85" t="s">
        <v>132</v>
      </c>
      <c r="G85">
        <v>513060947.72000003</v>
      </c>
      <c r="H85">
        <v>1.696284751054522E-2</v>
      </c>
      <c r="I85">
        <v>4.3223663936062813E-2</v>
      </c>
      <c r="J85">
        <v>2.161183196803141E-2</v>
      </c>
    </row>
    <row r="86" spans="1:10" x14ac:dyDescent="0.35">
      <c r="A86" t="s">
        <v>176</v>
      </c>
      <c r="B86" t="s">
        <v>128</v>
      </c>
      <c r="C86" t="s">
        <v>148</v>
      </c>
      <c r="D86" t="s">
        <v>149</v>
      </c>
      <c r="E86" t="s">
        <v>150</v>
      </c>
      <c r="F86" t="s">
        <v>19</v>
      </c>
      <c r="G86">
        <v>507049236.01999998</v>
      </c>
      <c r="H86">
        <v>1.676408798831374E-2</v>
      </c>
      <c r="I86">
        <v>4.27171973898249E-2</v>
      </c>
      <c r="J86">
        <v>2.135859869491245E-2</v>
      </c>
    </row>
    <row r="87" spans="1:10" x14ac:dyDescent="0.35">
      <c r="A87" t="s">
        <v>176</v>
      </c>
      <c r="B87" t="s">
        <v>128</v>
      </c>
      <c r="C87" t="s">
        <v>186</v>
      </c>
      <c r="D87" t="s">
        <v>187</v>
      </c>
      <c r="E87" t="s">
        <v>188</v>
      </c>
      <c r="F87" t="s">
        <v>19</v>
      </c>
      <c r="G87">
        <v>496399779.08999997</v>
      </c>
      <c r="H87">
        <v>1.6411995094133269E-2</v>
      </c>
      <c r="I87">
        <v>4.1820016363887401E-2</v>
      </c>
      <c r="J87">
        <v>2.09100081819437E-2</v>
      </c>
    </row>
    <row r="88" spans="1:10" x14ac:dyDescent="0.35">
      <c r="A88" t="s">
        <v>176</v>
      </c>
      <c r="B88" t="s">
        <v>128</v>
      </c>
      <c r="C88" t="s">
        <v>151</v>
      </c>
      <c r="D88" t="s">
        <v>152</v>
      </c>
      <c r="E88" t="s">
        <v>153</v>
      </c>
      <c r="F88" t="s">
        <v>154</v>
      </c>
      <c r="G88">
        <v>425102643.92000002</v>
      </c>
      <c r="H88">
        <v>1.405476553456159E-2</v>
      </c>
      <c r="I88">
        <v>3.581347187070965E-2</v>
      </c>
      <c r="J88">
        <v>1.7906735935354821E-2</v>
      </c>
    </row>
    <row r="89" spans="1:10" x14ac:dyDescent="0.35">
      <c r="A89" t="s">
        <v>176</v>
      </c>
      <c r="B89" t="s">
        <v>128</v>
      </c>
      <c r="C89" t="s">
        <v>155</v>
      </c>
      <c r="D89" t="s">
        <v>156</v>
      </c>
      <c r="E89" t="s">
        <v>157</v>
      </c>
      <c r="F89" t="s">
        <v>61</v>
      </c>
      <c r="G89">
        <v>416844685.43000001</v>
      </c>
      <c r="H89">
        <v>1.3781740485126859E-2</v>
      </c>
      <c r="I89">
        <v>3.5117766566776613E-2</v>
      </c>
      <c r="J89">
        <v>1.75588832833883E-2</v>
      </c>
    </row>
    <row r="90" spans="1:10" x14ac:dyDescent="0.35">
      <c r="A90" t="s">
        <v>176</v>
      </c>
      <c r="B90" t="s">
        <v>128</v>
      </c>
      <c r="C90" t="s">
        <v>189</v>
      </c>
      <c r="D90" t="s">
        <v>190</v>
      </c>
      <c r="E90" t="s">
        <v>191</v>
      </c>
      <c r="F90" t="s">
        <v>19</v>
      </c>
      <c r="G90">
        <v>404146862.76999998</v>
      </c>
      <c r="H90">
        <v>1.336192441755301E-2</v>
      </c>
      <c r="I90">
        <v>3.4048017598716201E-2</v>
      </c>
      <c r="J90">
        <v>1.7024008799358101E-2</v>
      </c>
    </row>
    <row r="91" spans="1:10" x14ac:dyDescent="0.35">
      <c r="A91" t="s">
        <v>176</v>
      </c>
      <c r="B91" t="s">
        <v>128</v>
      </c>
      <c r="C91" t="s">
        <v>192</v>
      </c>
      <c r="D91" t="s">
        <v>193</v>
      </c>
      <c r="E91" t="s">
        <v>194</v>
      </c>
      <c r="F91" t="s">
        <v>132</v>
      </c>
      <c r="G91">
        <v>391065829.50999999</v>
      </c>
      <c r="H91">
        <v>1.2929438621360921E-2</v>
      </c>
      <c r="I91">
        <v>3.2945984422971031E-2</v>
      </c>
      <c r="J91">
        <v>1.6472992211485519E-2</v>
      </c>
    </row>
    <row r="92" spans="1:10" x14ac:dyDescent="0.35">
      <c r="A92" t="s">
        <v>176</v>
      </c>
      <c r="B92" t="s">
        <v>128</v>
      </c>
      <c r="C92" t="s">
        <v>195</v>
      </c>
      <c r="D92" t="s">
        <v>196</v>
      </c>
      <c r="E92" t="s">
        <v>197</v>
      </c>
      <c r="F92" t="s">
        <v>19</v>
      </c>
      <c r="G92">
        <v>388093478.51999998</v>
      </c>
      <c r="H92">
        <v>1.283116659965425E-2</v>
      </c>
      <c r="I92">
        <v>3.2695573821925047E-2</v>
      </c>
      <c r="J92">
        <v>1.6347786910962531E-2</v>
      </c>
    </row>
    <row r="93" spans="1:10" x14ac:dyDescent="0.35">
      <c r="A93" t="s">
        <v>176</v>
      </c>
      <c r="B93" t="s">
        <v>128</v>
      </c>
      <c r="C93" t="s">
        <v>158</v>
      </c>
      <c r="D93" t="s">
        <v>159</v>
      </c>
      <c r="E93" t="s">
        <v>160</v>
      </c>
      <c r="F93" t="s">
        <v>38</v>
      </c>
      <c r="G93">
        <v>362944516.57999998</v>
      </c>
      <c r="H93">
        <v>1.199969032313682E-2</v>
      </c>
      <c r="I93">
        <v>3.0576858133143699E-2</v>
      </c>
      <c r="J93">
        <v>1.528842906657185E-2</v>
      </c>
    </row>
    <row r="94" spans="1:10" x14ac:dyDescent="0.35">
      <c r="A94" t="s">
        <v>176</v>
      </c>
      <c r="B94" t="s">
        <v>128</v>
      </c>
      <c r="C94" t="s">
        <v>198</v>
      </c>
      <c r="D94" t="s">
        <v>199</v>
      </c>
      <c r="E94" t="s">
        <v>200</v>
      </c>
      <c r="F94" t="s">
        <v>61</v>
      </c>
      <c r="G94">
        <v>334489131.64999998</v>
      </c>
      <c r="H94">
        <v>1.1058896919221619E-2</v>
      </c>
      <c r="I94">
        <v>2.8179587397860879E-2</v>
      </c>
      <c r="J94">
        <v>1.4089793698930439E-2</v>
      </c>
    </row>
    <row r="95" spans="1:10" x14ac:dyDescent="0.35">
      <c r="A95" t="s">
        <v>176</v>
      </c>
      <c r="B95" t="s">
        <v>128</v>
      </c>
      <c r="C95" t="s">
        <v>161</v>
      </c>
      <c r="D95" t="s">
        <v>162</v>
      </c>
      <c r="E95" t="s">
        <v>163</v>
      </c>
      <c r="F95" t="s">
        <v>34</v>
      </c>
      <c r="G95">
        <v>325529724.55000001</v>
      </c>
      <c r="H95">
        <v>1.076268053967146E-2</v>
      </c>
      <c r="I95">
        <v>2.7424787401334701E-2</v>
      </c>
      <c r="J95">
        <v>1.371239370066735E-2</v>
      </c>
    </row>
    <row r="96" spans="1:10" x14ac:dyDescent="0.35">
      <c r="A96" t="s">
        <v>176</v>
      </c>
      <c r="B96" t="s">
        <v>128</v>
      </c>
      <c r="C96" t="s">
        <v>164</v>
      </c>
      <c r="D96" t="s">
        <v>165</v>
      </c>
      <c r="E96" t="s">
        <v>166</v>
      </c>
      <c r="F96" t="s">
        <v>38</v>
      </c>
      <c r="G96">
        <v>319162528.54000002</v>
      </c>
      <c r="H96">
        <v>1.0552167976851479E-2</v>
      </c>
      <c r="I96">
        <v>2.6888372494344979E-2</v>
      </c>
      <c r="J96">
        <v>1.3444186247172489E-2</v>
      </c>
    </row>
    <row r="97" spans="1:10" x14ac:dyDescent="0.35">
      <c r="A97" t="s">
        <v>176</v>
      </c>
      <c r="B97" t="s">
        <v>128</v>
      </c>
      <c r="C97" t="s">
        <v>167</v>
      </c>
      <c r="D97" t="s">
        <v>168</v>
      </c>
      <c r="E97" t="s">
        <v>169</v>
      </c>
      <c r="F97" t="s">
        <v>38</v>
      </c>
      <c r="G97">
        <v>309049197.52999997</v>
      </c>
      <c r="H97">
        <v>1.0217800505484469E-2</v>
      </c>
      <c r="I97">
        <v>2.6036358278893591E-2</v>
      </c>
      <c r="J97">
        <v>1.3018179139446801E-2</v>
      </c>
    </row>
    <row r="98" spans="1:10" x14ac:dyDescent="0.35">
      <c r="A98" t="s">
        <v>176</v>
      </c>
      <c r="B98" t="s">
        <v>128</v>
      </c>
      <c r="C98" t="s">
        <v>201</v>
      </c>
      <c r="D98" t="s">
        <v>202</v>
      </c>
      <c r="E98" t="s">
        <v>203</v>
      </c>
      <c r="F98" t="s">
        <v>38</v>
      </c>
      <c r="G98">
        <v>301539418.44</v>
      </c>
      <c r="H98">
        <v>9.969511801953929E-3</v>
      </c>
      <c r="I98">
        <v>2.5403684579866741E-2</v>
      </c>
      <c r="J98">
        <v>1.270184228993337E-2</v>
      </c>
    </row>
    <row r="99" spans="1:10" x14ac:dyDescent="0.35">
      <c r="A99" t="s">
        <v>176</v>
      </c>
      <c r="B99" t="s">
        <v>128</v>
      </c>
      <c r="C99" t="s">
        <v>170</v>
      </c>
      <c r="D99" t="s">
        <v>171</v>
      </c>
      <c r="E99" t="s">
        <v>172</v>
      </c>
      <c r="F99" t="s">
        <v>23</v>
      </c>
      <c r="G99">
        <v>240190668.31</v>
      </c>
      <c r="H99">
        <v>7.9411962615833533E-3</v>
      </c>
      <c r="I99">
        <v>2.0235258157429759E-2</v>
      </c>
      <c r="J99">
        <v>1.011762907871488E-2</v>
      </c>
    </row>
    <row r="100" spans="1:10" x14ac:dyDescent="0.35">
      <c r="A100" t="s">
        <v>176</v>
      </c>
      <c r="B100" t="s">
        <v>128</v>
      </c>
      <c r="C100" t="s">
        <v>204</v>
      </c>
      <c r="D100" t="s">
        <v>205</v>
      </c>
      <c r="E100" t="s">
        <v>206</v>
      </c>
      <c r="F100" t="s">
        <v>30</v>
      </c>
      <c r="G100">
        <v>232306626.06999999</v>
      </c>
      <c r="H100">
        <v>7.6805336504878726E-3</v>
      </c>
      <c r="I100">
        <v>1.9571054043369101E-2</v>
      </c>
      <c r="J100">
        <v>9.7855270216845487E-3</v>
      </c>
    </row>
    <row r="101" spans="1:10" x14ac:dyDescent="0.35">
      <c r="A101" t="s">
        <v>176</v>
      </c>
      <c r="B101" t="s">
        <v>128</v>
      </c>
      <c r="C101" t="s">
        <v>173</v>
      </c>
      <c r="D101" t="s">
        <v>174</v>
      </c>
      <c r="E101" t="s">
        <v>175</v>
      </c>
      <c r="F101" t="s">
        <v>15</v>
      </c>
      <c r="G101">
        <v>216510068.71000001</v>
      </c>
      <c r="H101">
        <v>7.1582670564700893E-3</v>
      </c>
      <c r="I101">
        <v>1.8240247070611539E-2</v>
      </c>
      <c r="J101">
        <v>9.1201235353057675E-3</v>
      </c>
    </row>
    <row r="102" spans="1:10" x14ac:dyDescent="0.35">
      <c r="A102" t="s">
        <v>207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>
        <v>399627922.77999997</v>
      </c>
      <c r="H102">
        <v>2.4261330576203222E-2</v>
      </c>
      <c r="I102">
        <v>0.13382678379697921</v>
      </c>
      <c r="J102">
        <v>4.0148035139093742E-2</v>
      </c>
    </row>
    <row r="103" spans="1:10" x14ac:dyDescent="0.35">
      <c r="A103" t="s">
        <v>207</v>
      </c>
      <c r="B103" t="s">
        <v>11</v>
      </c>
      <c r="C103" t="s">
        <v>16</v>
      </c>
      <c r="D103" t="s">
        <v>17</v>
      </c>
      <c r="E103" t="s">
        <v>18</v>
      </c>
      <c r="F103" t="s">
        <v>19</v>
      </c>
      <c r="G103">
        <v>366171785.36000001</v>
      </c>
      <c r="H103">
        <v>2.2230215222443651E-2</v>
      </c>
      <c r="I103">
        <v>0.12262304398309939</v>
      </c>
      <c r="J103">
        <v>3.6786913194929813E-2</v>
      </c>
    </row>
    <row r="104" spans="1:10" x14ac:dyDescent="0.35">
      <c r="A104" t="s">
        <v>207</v>
      </c>
      <c r="B104" t="s">
        <v>11</v>
      </c>
      <c r="C104" t="s">
        <v>20</v>
      </c>
      <c r="D104" t="s">
        <v>21</v>
      </c>
      <c r="E104" t="s">
        <v>22</v>
      </c>
      <c r="F104" t="s">
        <v>23</v>
      </c>
      <c r="G104">
        <v>299117163.92000002</v>
      </c>
      <c r="H104">
        <v>1.815934268155367E-2</v>
      </c>
      <c r="I104">
        <v>0.1001678955449876</v>
      </c>
      <c r="J104">
        <v>3.005036866349628E-2</v>
      </c>
    </row>
    <row r="105" spans="1:10" x14ac:dyDescent="0.35">
      <c r="A105" t="s">
        <v>207</v>
      </c>
      <c r="B105" t="s">
        <v>11</v>
      </c>
      <c r="C105" t="s">
        <v>24</v>
      </c>
      <c r="D105" t="s">
        <v>25</v>
      </c>
      <c r="E105" t="s">
        <v>26</v>
      </c>
      <c r="F105" t="s">
        <v>19</v>
      </c>
      <c r="G105">
        <v>243405852.05000001</v>
      </c>
      <c r="H105">
        <v>1.4777120176405759E-2</v>
      </c>
      <c r="I105">
        <v>8.151137715956687E-2</v>
      </c>
      <c r="J105">
        <v>2.445341314787006E-2</v>
      </c>
    </row>
    <row r="106" spans="1:10" x14ac:dyDescent="0.35">
      <c r="A106" t="s">
        <v>207</v>
      </c>
      <c r="B106" t="s">
        <v>11</v>
      </c>
      <c r="C106" t="s">
        <v>27</v>
      </c>
      <c r="D106" t="s">
        <v>28</v>
      </c>
      <c r="E106" t="s">
        <v>29</v>
      </c>
      <c r="F106" t="s">
        <v>30</v>
      </c>
      <c r="G106">
        <v>178614150.91999999</v>
      </c>
      <c r="H106">
        <v>1.084362907104359E-2</v>
      </c>
      <c r="I106">
        <v>5.9814031992481503E-2</v>
      </c>
      <c r="J106">
        <v>1.794420959774445E-2</v>
      </c>
    </row>
    <row r="107" spans="1:10" x14ac:dyDescent="0.35">
      <c r="A107" t="s">
        <v>207</v>
      </c>
      <c r="B107" t="s">
        <v>11</v>
      </c>
      <c r="C107" t="s">
        <v>31</v>
      </c>
      <c r="D107" t="s">
        <v>32</v>
      </c>
      <c r="E107" t="s">
        <v>33</v>
      </c>
      <c r="F107" t="s">
        <v>34</v>
      </c>
      <c r="G107">
        <v>166449716.81</v>
      </c>
      <c r="H107">
        <v>1.0105128730121159E-2</v>
      </c>
      <c r="I107">
        <v>5.5740425017455977E-2</v>
      </c>
      <c r="J107">
        <v>1.672212750523679E-2</v>
      </c>
    </row>
    <row r="108" spans="1:10" x14ac:dyDescent="0.35">
      <c r="A108" t="s">
        <v>207</v>
      </c>
      <c r="B108" t="s">
        <v>11</v>
      </c>
      <c r="C108" t="s">
        <v>35</v>
      </c>
      <c r="D108" t="s">
        <v>36</v>
      </c>
      <c r="E108" t="s">
        <v>37</v>
      </c>
      <c r="F108" t="s">
        <v>38</v>
      </c>
      <c r="G108">
        <v>166128375.28999999</v>
      </c>
      <c r="H108">
        <v>1.008562015126525E-2</v>
      </c>
      <c r="I108">
        <v>5.5632814663747768E-2</v>
      </c>
      <c r="J108">
        <v>1.668984439912433E-2</v>
      </c>
    </row>
    <row r="109" spans="1:10" x14ac:dyDescent="0.35">
      <c r="A109" t="s">
        <v>207</v>
      </c>
      <c r="B109" t="s">
        <v>11</v>
      </c>
      <c r="C109" t="s">
        <v>39</v>
      </c>
      <c r="D109" t="s">
        <v>40</v>
      </c>
      <c r="E109" t="s">
        <v>41</v>
      </c>
      <c r="F109" t="s">
        <v>30</v>
      </c>
      <c r="G109">
        <v>162664576.12</v>
      </c>
      <c r="H109">
        <v>9.8753336023966118E-3</v>
      </c>
      <c r="I109">
        <v>5.4472862928105582E-2</v>
      </c>
      <c r="J109">
        <v>1.6341858878431668E-2</v>
      </c>
    </row>
    <row r="110" spans="1:10" x14ac:dyDescent="0.35">
      <c r="A110" t="s">
        <v>207</v>
      </c>
      <c r="B110" t="s">
        <v>11</v>
      </c>
      <c r="C110" t="s">
        <v>42</v>
      </c>
      <c r="D110" t="s">
        <v>43</v>
      </c>
      <c r="E110" t="s">
        <v>44</v>
      </c>
      <c r="F110" t="s">
        <v>38</v>
      </c>
      <c r="G110">
        <v>158999930.11000001</v>
      </c>
      <c r="H110">
        <v>9.652853682387821E-3</v>
      </c>
      <c r="I110">
        <v>5.3245651911765467E-2</v>
      </c>
      <c r="J110">
        <v>1.597369557352964E-2</v>
      </c>
    </row>
    <row r="111" spans="1:10" x14ac:dyDescent="0.35">
      <c r="A111" t="s">
        <v>207</v>
      </c>
      <c r="B111" t="s">
        <v>11</v>
      </c>
      <c r="C111" t="s">
        <v>45</v>
      </c>
      <c r="D111" t="s">
        <v>46</v>
      </c>
      <c r="E111" t="s">
        <v>47</v>
      </c>
      <c r="F111" t="s">
        <v>15</v>
      </c>
      <c r="G111">
        <v>151124561.53999999</v>
      </c>
      <c r="H111">
        <v>9.1747416451781593E-3</v>
      </c>
      <c r="I111">
        <v>5.0608360604373209E-2</v>
      </c>
      <c r="J111">
        <v>1.5182508181311959E-2</v>
      </c>
    </row>
    <row r="112" spans="1:10" x14ac:dyDescent="0.35">
      <c r="A112" t="s">
        <v>207</v>
      </c>
      <c r="B112" t="s">
        <v>11</v>
      </c>
      <c r="C112" t="s">
        <v>48</v>
      </c>
      <c r="D112" t="s">
        <v>49</v>
      </c>
      <c r="E112" t="s">
        <v>50</v>
      </c>
      <c r="F112" t="s">
        <v>51</v>
      </c>
      <c r="G112">
        <v>150990548.13</v>
      </c>
      <c r="H112">
        <v>9.166605718091192E-3</v>
      </c>
      <c r="I112">
        <v>5.0563482399864357E-2</v>
      </c>
      <c r="J112">
        <v>1.5169044719959311E-2</v>
      </c>
    </row>
    <row r="113" spans="1:10" x14ac:dyDescent="0.35">
      <c r="A113" t="s">
        <v>207</v>
      </c>
      <c r="B113" t="s">
        <v>11</v>
      </c>
      <c r="C113" t="s">
        <v>52</v>
      </c>
      <c r="D113" t="s">
        <v>53</v>
      </c>
      <c r="E113" t="s">
        <v>54</v>
      </c>
      <c r="F113" t="s">
        <v>15</v>
      </c>
      <c r="G113">
        <v>144776575.13999999</v>
      </c>
      <c r="H113">
        <v>8.7893566713948667E-3</v>
      </c>
      <c r="I113">
        <v>4.848255668759676E-2</v>
      </c>
      <c r="J113">
        <v>1.4544767006279029E-2</v>
      </c>
    </row>
    <row r="114" spans="1:10" x14ac:dyDescent="0.35">
      <c r="A114" t="s">
        <v>207</v>
      </c>
      <c r="B114" t="s">
        <v>11</v>
      </c>
      <c r="C114" t="s">
        <v>52</v>
      </c>
      <c r="D114" t="s">
        <v>53</v>
      </c>
      <c r="E114" t="s">
        <v>54</v>
      </c>
      <c r="F114" t="s">
        <v>15</v>
      </c>
      <c r="G114">
        <v>144776575.13999999</v>
      </c>
      <c r="H114">
        <v>8.7893566713948667E-3</v>
      </c>
      <c r="I114">
        <v>4.848255668759676E-2</v>
      </c>
      <c r="J114">
        <v>1.4544767006279029E-2</v>
      </c>
    </row>
    <row r="115" spans="1:10" x14ac:dyDescent="0.35">
      <c r="A115" t="s">
        <v>207</v>
      </c>
      <c r="B115" t="s">
        <v>11</v>
      </c>
      <c r="C115" t="s">
        <v>58</v>
      </c>
      <c r="D115" t="s">
        <v>59</v>
      </c>
      <c r="E115" t="s">
        <v>60</v>
      </c>
      <c r="F115" t="s">
        <v>61</v>
      </c>
      <c r="G115">
        <v>131166680.92</v>
      </c>
      <c r="H115">
        <v>7.9631027387827708E-3</v>
      </c>
      <c r="I115">
        <v>4.3924896255339171E-2</v>
      </c>
      <c r="J115">
        <v>1.3177468876601751E-2</v>
      </c>
    </row>
    <row r="116" spans="1:10" x14ac:dyDescent="0.35">
      <c r="A116" t="s">
        <v>207</v>
      </c>
      <c r="B116" t="s">
        <v>11</v>
      </c>
      <c r="C116" t="s">
        <v>65</v>
      </c>
      <c r="D116" t="s">
        <v>66</v>
      </c>
      <c r="E116" t="s">
        <v>67</v>
      </c>
      <c r="F116" t="s">
        <v>68</v>
      </c>
      <c r="G116">
        <v>122143598.7</v>
      </c>
      <c r="H116">
        <v>7.4153132374065239E-3</v>
      </c>
      <c r="I116">
        <v>4.0903260367040478E-2</v>
      </c>
      <c r="J116">
        <v>1.227097811011214E-2</v>
      </c>
    </row>
    <row r="117" spans="1:10" x14ac:dyDescent="0.35">
      <c r="A117" t="s">
        <v>207</v>
      </c>
      <c r="B117" t="s">
        <v>128</v>
      </c>
      <c r="C117" t="s">
        <v>129</v>
      </c>
      <c r="D117" t="s">
        <v>130</v>
      </c>
      <c r="E117" t="s">
        <v>131</v>
      </c>
      <c r="F117" t="s">
        <v>132</v>
      </c>
      <c r="G117">
        <v>905800559.92999995</v>
      </c>
      <c r="H117">
        <v>2.9947624821845539E-2</v>
      </c>
      <c r="I117">
        <v>6.4720755936651275E-2</v>
      </c>
      <c r="J117">
        <v>4.5304529155655887E-2</v>
      </c>
    </row>
    <row r="118" spans="1:10" x14ac:dyDescent="0.35">
      <c r="A118" t="s">
        <v>207</v>
      </c>
      <c r="B118" t="s">
        <v>128</v>
      </c>
      <c r="C118" t="s">
        <v>133</v>
      </c>
      <c r="D118" t="s">
        <v>134</v>
      </c>
      <c r="E118" t="s">
        <v>135</v>
      </c>
      <c r="F118" t="s">
        <v>132</v>
      </c>
      <c r="G118">
        <v>832865606.57000005</v>
      </c>
      <c r="H118">
        <v>2.753624563281868E-2</v>
      </c>
      <c r="I118">
        <v>5.9509448365778962E-2</v>
      </c>
      <c r="J118">
        <v>4.1656613856045271E-2</v>
      </c>
    </row>
    <row r="119" spans="1:10" x14ac:dyDescent="0.35">
      <c r="A119" t="s">
        <v>207</v>
      </c>
      <c r="B119" t="s">
        <v>128</v>
      </c>
      <c r="C119" t="s">
        <v>136</v>
      </c>
      <c r="D119" t="s">
        <v>137</v>
      </c>
      <c r="E119" t="s">
        <v>138</v>
      </c>
      <c r="F119" t="s">
        <v>132</v>
      </c>
      <c r="G119">
        <v>809126442.03999996</v>
      </c>
      <c r="H119">
        <v>2.6751380150969731E-2</v>
      </c>
      <c r="I119">
        <v>5.7813250834387639E-2</v>
      </c>
      <c r="J119">
        <v>4.0469275584071353E-2</v>
      </c>
    </row>
    <row r="120" spans="1:10" x14ac:dyDescent="0.35">
      <c r="A120" t="s">
        <v>207</v>
      </c>
      <c r="B120" t="s">
        <v>128</v>
      </c>
      <c r="C120" t="s">
        <v>177</v>
      </c>
      <c r="D120" t="s">
        <v>178</v>
      </c>
      <c r="E120" t="s">
        <v>179</v>
      </c>
      <c r="F120" t="s">
        <v>132</v>
      </c>
      <c r="G120">
        <v>754039548.25</v>
      </c>
      <c r="H120">
        <v>2.4930094427817531E-2</v>
      </c>
      <c r="I120">
        <v>5.3877212852068063E-2</v>
      </c>
      <c r="J120">
        <v>3.771404899644764E-2</v>
      </c>
    </row>
    <row r="121" spans="1:10" x14ac:dyDescent="0.35">
      <c r="A121" t="s">
        <v>207</v>
      </c>
      <c r="B121" t="s">
        <v>128</v>
      </c>
      <c r="C121" t="s">
        <v>139</v>
      </c>
      <c r="D121" t="s">
        <v>140</v>
      </c>
      <c r="E121" t="s">
        <v>141</v>
      </c>
      <c r="F121" t="s">
        <v>61</v>
      </c>
      <c r="G121">
        <v>713464004.85000002</v>
      </c>
      <c r="H121">
        <v>2.3588583719566691E-2</v>
      </c>
      <c r="I121">
        <v>5.0978031776720369E-2</v>
      </c>
      <c r="J121">
        <v>3.5684622243704257E-2</v>
      </c>
    </row>
    <row r="122" spans="1:10" x14ac:dyDescent="0.35">
      <c r="A122" t="s">
        <v>207</v>
      </c>
      <c r="B122" t="s">
        <v>128</v>
      </c>
      <c r="C122" t="s">
        <v>180</v>
      </c>
      <c r="D122" t="s">
        <v>181</v>
      </c>
      <c r="E122" t="s">
        <v>182</v>
      </c>
      <c r="F122" t="s">
        <v>132</v>
      </c>
      <c r="G122">
        <v>591434812.02999997</v>
      </c>
      <c r="H122">
        <v>1.955404825386944E-2</v>
      </c>
      <c r="I122">
        <v>4.2258870015261393E-2</v>
      </c>
      <c r="J122">
        <v>2.9581209010682969E-2</v>
      </c>
    </row>
    <row r="123" spans="1:10" x14ac:dyDescent="0.35">
      <c r="A123" t="s">
        <v>207</v>
      </c>
      <c r="B123" t="s">
        <v>128</v>
      </c>
      <c r="C123" t="s">
        <v>142</v>
      </c>
      <c r="D123" t="s">
        <v>143</v>
      </c>
      <c r="E123" t="s">
        <v>144</v>
      </c>
      <c r="F123" t="s">
        <v>30</v>
      </c>
      <c r="G123">
        <v>556682073.77999997</v>
      </c>
      <c r="H123">
        <v>1.8405051429752631E-2</v>
      </c>
      <c r="I123">
        <v>3.9775736762857138E-2</v>
      </c>
      <c r="J123">
        <v>2.7843015733999991E-2</v>
      </c>
    </row>
    <row r="124" spans="1:10" x14ac:dyDescent="0.35">
      <c r="A124" t="s">
        <v>207</v>
      </c>
      <c r="B124" t="s">
        <v>128</v>
      </c>
      <c r="C124" t="s">
        <v>145</v>
      </c>
      <c r="D124" t="s">
        <v>146</v>
      </c>
      <c r="E124" t="s">
        <v>147</v>
      </c>
      <c r="F124" t="s">
        <v>19</v>
      </c>
      <c r="G124">
        <v>523010381.36000001</v>
      </c>
      <c r="H124">
        <v>1.7291796198613589E-2</v>
      </c>
      <c r="I124">
        <v>3.73698457935943E-2</v>
      </c>
      <c r="J124">
        <v>2.6158892055516011E-2</v>
      </c>
    </row>
    <row r="125" spans="1:10" x14ac:dyDescent="0.35">
      <c r="A125" t="s">
        <v>207</v>
      </c>
      <c r="B125" t="s">
        <v>128</v>
      </c>
      <c r="C125" t="s">
        <v>183</v>
      </c>
      <c r="D125" t="s">
        <v>184</v>
      </c>
      <c r="E125" t="s">
        <v>185</v>
      </c>
      <c r="F125" t="s">
        <v>132</v>
      </c>
      <c r="G125">
        <v>513060947.72000003</v>
      </c>
      <c r="H125">
        <v>1.696284751054522E-2</v>
      </c>
      <c r="I125">
        <v>3.6658944415511568E-2</v>
      </c>
      <c r="J125">
        <v>2.56612610908581E-2</v>
      </c>
    </row>
    <row r="126" spans="1:10" x14ac:dyDescent="0.35">
      <c r="A126" t="s">
        <v>207</v>
      </c>
      <c r="B126" t="s">
        <v>128</v>
      </c>
      <c r="C126" t="s">
        <v>148</v>
      </c>
      <c r="D126" t="s">
        <v>149</v>
      </c>
      <c r="E126" t="s">
        <v>150</v>
      </c>
      <c r="F126" t="s">
        <v>19</v>
      </c>
      <c r="G126">
        <v>507049236.01999998</v>
      </c>
      <c r="H126">
        <v>1.676408798831374E-2</v>
      </c>
      <c r="I126">
        <v>3.6229398947216343E-2</v>
      </c>
      <c r="J126">
        <v>2.5360579263051429E-2</v>
      </c>
    </row>
    <row r="127" spans="1:10" x14ac:dyDescent="0.35">
      <c r="A127" t="s">
        <v>207</v>
      </c>
      <c r="B127" t="s">
        <v>128</v>
      </c>
      <c r="C127" t="s">
        <v>186</v>
      </c>
      <c r="D127" t="s">
        <v>187</v>
      </c>
      <c r="E127" t="s">
        <v>188</v>
      </c>
      <c r="F127" t="s">
        <v>19</v>
      </c>
      <c r="G127">
        <v>496399779.08999997</v>
      </c>
      <c r="H127">
        <v>1.6411995094133269E-2</v>
      </c>
      <c r="I127">
        <v>3.546847989581095E-2</v>
      </c>
      <c r="J127">
        <v>2.4827935927067661E-2</v>
      </c>
    </row>
    <row r="128" spans="1:10" x14ac:dyDescent="0.35">
      <c r="A128" t="s">
        <v>207</v>
      </c>
      <c r="B128" t="s">
        <v>128</v>
      </c>
      <c r="C128" t="s">
        <v>151</v>
      </c>
      <c r="D128" t="s">
        <v>152</v>
      </c>
      <c r="E128" t="s">
        <v>153</v>
      </c>
      <c r="F128" t="s">
        <v>154</v>
      </c>
      <c r="G128">
        <v>425102643.92000002</v>
      </c>
      <c r="H128">
        <v>1.405476553456159E-2</v>
      </c>
      <c r="I128">
        <v>3.0374196795923479E-2</v>
      </c>
      <c r="J128">
        <v>2.126193775714643E-2</v>
      </c>
    </row>
    <row r="129" spans="1:10" x14ac:dyDescent="0.35">
      <c r="A129" t="s">
        <v>207</v>
      </c>
      <c r="B129" t="s">
        <v>128</v>
      </c>
      <c r="C129" t="s">
        <v>155</v>
      </c>
      <c r="D129" t="s">
        <v>156</v>
      </c>
      <c r="E129" t="s">
        <v>157</v>
      </c>
      <c r="F129" t="s">
        <v>61</v>
      </c>
      <c r="G129">
        <v>416844685.43000001</v>
      </c>
      <c r="H129">
        <v>1.3781740485126859E-2</v>
      </c>
      <c r="I129">
        <v>2.9784153755977039E-2</v>
      </c>
      <c r="J129">
        <v>2.084890762918392E-2</v>
      </c>
    </row>
    <row r="130" spans="1:10" x14ac:dyDescent="0.35">
      <c r="A130" t="s">
        <v>207</v>
      </c>
      <c r="B130" t="s">
        <v>128</v>
      </c>
      <c r="C130" t="s">
        <v>189</v>
      </c>
      <c r="D130" t="s">
        <v>190</v>
      </c>
      <c r="E130" t="s">
        <v>191</v>
      </c>
      <c r="F130" t="s">
        <v>19</v>
      </c>
      <c r="G130">
        <v>404146862.76999998</v>
      </c>
      <c r="H130">
        <v>1.336192441755301E-2</v>
      </c>
      <c r="I130">
        <v>2.8876876019950631E-2</v>
      </c>
      <c r="J130">
        <v>2.021381321396544E-2</v>
      </c>
    </row>
    <row r="131" spans="1:10" x14ac:dyDescent="0.35">
      <c r="A131" t="s">
        <v>207</v>
      </c>
      <c r="B131" t="s">
        <v>128</v>
      </c>
      <c r="C131" t="s">
        <v>192</v>
      </c>
      <c r="D131" t="s">
        <v>193</v>
      </c>
      <c r="E131" t="s">
        <v>194</v>
      </c>
      <c r="F131" t="s">
        <v>132</v>
      </c>
      <c r="G131">
        <v>391065829.50999999</v>
      </c>
      <c r="H131">
        <v>1.2929438621360921E-2</v>
      </c>
      <c r="I131">
        <v>2.7942217334063851E-2</v>
      </c>
      <c r="J131">
        <v>1.95595521338447E-2</v>
      </c>
    </row>
    <row r="132" spans="1:10" x14ac:dyDescent="0.35">
      <c r="A132" t="s">
        <v>207</v>
      </c>
      <c r="B132" t="s">
        <v>128</v>
      </c>
      <c r="C132" t="s">
        <v>195</v>
      </c>
      <c r="D132" t="s">
        <v>196</v>
      </c>
      <c r="E132" t="s">
        <v>197</v>
      </c>
      <c r="F132" t="s">
        <v>19</v>
      </c>
      <c r="G132">
        <v>388093478.51999998</v>
      </c>
      <c r="H132">
        <v>1.283116659965425E-2</v>
      </c>
      <c r="I132">
        <v>2.7729838570468561E-2</v>
      </c>
      <c r="J132">
        <v>1.9410886999327991E-2</v>
      </c>
    </row>
    <row r="133" spans="1:10" x14ac:dyDescent="0.35">
      <c r="A133" t="s">
        <v>207</v>
      </c>
      <c r="B133" t="s">
        <v>128</v>
      </c>
      <c r="C133" t="s">
        <v>158</v>
      </c>
      <c r="D133" t="s">
        <v>159</v>
      </c>
      <c r="E133" t="s">
        <v>160</v>
      </c>
      <c r="F133" t="s">
        <v>38</v>
      </c>
      <c r="G133">
        <v>362944516.57999998</v>
      </c>
      <c r="H133">
        <v>1.199969032313682E-2</v>
      </c>
      <c r="I133">
        <v>2.593290898157026E-2</v>
      </c>
      <c r="J133">
        <v>1.8153036287099179E-2</v>
      </c>
    </row>
    <row r="134" spans="1:10" x14ac:dyDescent="0.35">
      <c r="A134" t="s">
        <v>207</v>
      </c>
      <c r="B134" t="s">
        <v>128</v>
      </c>
      <c r="C134" t="s">
        <v>198</v>
      </c>
      <c r="D134" t="s">
        <v>199</v>
      </c>
      <c r="E134" t="s">
        <v>200</v>
      </c>
      <c r="F134" t="s">
        <v>61</v>
      </c>
      <c r="G134">
        <v>334489131.64999998</v>
      </c>
      <c r="H134">
        <v>1.1058896919221619E-2</v>
      </c>
      <c r="I134">
        <v>2.3899730703031419E-2</v>
      </c>
      <c r="J134">
        <v>1.672981149212199E-2</v>
      </c>
    </row>
    <row r="135" spans="1:10" x14ac:dyDescent="0.35">
      <c r="A135" t="s">
        <v>207</v>
      </c>
      <c r="B135" t="s">
        <v>128</v>
      </c>
      <c r="C135" t="s">
        <v>208</v>
      </c>
      <c r="D135" t="s">
        <v>209</v>
      </c>
      <c r="E135" t="s">
        <v>210</v>
      </c>
      <c r="F135" t="s">
        <v>61</v>
      </c>
      <c r="G135">
        <v>329891514.31999999</v>
      </c>
      <c r="H135">
        <v>1.0906890257971719E-2</v>
      </c>
      <c r="I135">
        <v>2.357122431623028E-2</v>
      </c>
      <c r="J135">
        <v>1.6499857021361201E-2</v>
      </c>
    </row>
    <row r="136" spans="1:10" x14ac:dyDescent="0.35">
      <c r="A136" t="s">
        <v>207</v>
      </c>
      <c r="B136" t="s">
        <v>128</v>
      </c>
      <c r="C136" t="s">
        <v>161</v>
      </c>
      <c r="D136" t="s">
        <v>162</v>
      </c>
      <c r="E136" t="s">
        <v>163</v>
      </c>
      <c r="F136" t="s">
        <v>34</v>
      </c>
      <c r="G136">
        <v>325529724.55000001</v>
      </c>
      <c r="H136">
        <v>1.076268053967146E-2</v>
      </c>
      <c r="I136">
        <v>2.3259568148593378E-2</v>
      </c>
      <c r="J136">
        <v>1.6281697704015361E-2</v>
      </c>
    </row>
    <row r="137" spans="1:10" x14ac:dyDescent="0.35">
      <c r="A137" t="s">
        <v>207</v>
      </c>
      <c r="B137" t="s">
        <v>128</v>
      </c>
      <c r="C137" t="s">
        <v>164</v>
      </c>
      <c r="D137" t="s">
        <v>165</v>
      </c>
      <c r="E137" t="s">
        <v>166</v>
      </c>
      <c r="F137" t="s">
        <v>38</v>
      </c>
      <c r="G137">
        <v>319162528.54000002</v>
      </c>
      <c r="H137">
        <v>1.0552167976851479E-2</v>
      </c>
      <c r="I137">
        <v>2.2804622813832401E-2</v>
      </c>
      <c r="J137">
        <v>1.5963235969682681E-2</v>
      </c>
    </row>
    <row r="138" spans="1:10" x14ac:dyDescent="0.35">
      <c r="A138" t="s">
        <v>207</v>
      </c>
      <c r="B138" t="s">
        <v>128</v>
      </c>
      <c r="C138" t="s">
        <v>16</v>
      </c>
      <c r="D138" t="s">
        <v>17</v>
      </c>
      <c r="E138" t="s">
        <v>18</v>
      </c>
      <c r="F138" t="s">
        <v>19</v>
      </c>
      <c r="G138">
        <v>314660903.13999999</v>
      </c>
      <c r="H138">
        <v>1.0403335005741249E-2</v>
      </c>
      <c r="I138">
        <v>2.2482975188825249E-2</v>
      </c>
      <c r="J138">
        <v>1.5738082632177679E-2</v>
      </c>
    </row>
    <row r="139" spans="1:10" x14ac:dyDescent="0.35">
      <c r="A139" t="s">
        <v>207</v>
      </c>
      <c r="B139" t="s">
        <v>128</v>
      </c>
      <c r="C139" t="s">
        <v>16</v>
      </c>
      <c r="D139" t="s">
        <v>17</v>
      </c>
      <c r="E139" t="s">
        <v>18</v>
      </c>
      <c r="F139" t="s">
        <v>19</v>
      </c>
      <c r="G139">
        <v>314660903.13999999</v>
      </c>
      <c r="H139">
        <v>1.0403335005741249E-2</v>
      </c>
      <c r="I139">
        <v>2.2482975188825249E-2</v>
      </c>
      <c r="J139">
        <v>1.5738082632177679E-2</v>
      </c>
    </row>
    <row r="140" spans="1:10" x14ac:dyDescent="0.35">
      <c r="A140" t="s">
        <v>207</v>
      </c>
      <c r="B140" t="s">
        <v>128</v>
      </c>
      <c r="C140" t="s">
        <v>167</v>
      </c>
      <c r="D140" t="s">
        <v>168</v>
      </c>
      <c r="E140" t="s">
        <v>169</v>
      </c>
      <c r="F140" t="s">
        <v>38</v>
      </c>
      <c r="G140">
        <v>309049197.52999997</v>
      </c>
      <c r="H140">
        <v>1.0217800505484469E-2</v>
      </c>
      <c r="I140">
        <v>2.2082010732365639E-2</v>
      </c>
      <c r="J140">
        <v>1.545740751265595E-2</v>
      </c>
    </row>
    <row r="141" spans="1:10" x14ac:dyDescent="0.35">
      <c r="A141" t="s">
        <v>207</v>
      </c>
      <c r="B141" t="s">
        <v>128</v>
      </c>
      <c r="C141" t="s">
        <v>201</v>
      </c>
      <c r="D141" t="s">
        <v>202</v>
      </c>
      <c r="E141" t="s">
        <v>203</v>
      </c>
      <c r="F141" t="s">
        <v>38</v>
      </c>
      <c r="G141">
        <v>301539418.44</v>
      </c>
      <c r="H141">
        <v>9.969511801953929E-3</v>
      </c>
      <c r="I141">
        <v>2.1545426189229989E-2</v>
      </c>
      <c r="J141">
        <v>1.508179833246099E-2</v>
      </c>
    </row>
    <row r="142" spans="1:10" x14ac:dyDescent="0.35">
      <c r="A142" t="s">
        <v>207</v>
      </c>
      <c r="B142" t="s">
        <v>128</v>
      </c>
      <c r="C142" t="s">
        <v>211</v>
      </c>
      <c r="D142" t="s">
        <v>212</v>
      </c>
      <c r="E142" t="s">
        <v>213</v>
      </c>
      <c r="F142" t="s">
        <v>38</v>
      </c>
      <c r="G142">
        <v>242588811.90000001</v>
      </c>
      <c r="H142">
        <v>8.0204838086210643E-3</v>
      </c>
      <c r="I142">
        <v>1.7333320360450471E-2</v>
      </c>
      <c r="J142">
        <v>1.2133324252315329E-2</v>
      </c>
    </row>
    <row r="143" spans="1:10" x14ac:dyDescent="0.35">
      <c r="A143" t="s">
        <v>207</v>
      </c>
      <c r="B143" t="s">
        <v>128</v>
      </c>
      <c r="C143" t="s">
        <v>170</v>
      </c>
      <c r="D143" t="s">
        <v>171</v>
      </c>
      <c r="E143" t="s">
        <v>172</v>
      </c>
      <c r="F143" t="s">
        <v>23</v>
      </c>
      <c r="G143">
        <v>240190668.31</v>
      </c>
      <c r="H143">
        <v>7.9411962615833533E-3</v>
      </c>
      <c r="I143">
        <v>1.7161969543443439E-2</v>
      </c>
      <c r="J143">
        <v>1.201337868041041E-2</v>
      </c>
    </row>
    <row r="144" spans="1:10" x14ac:dyDescent="0.35">
      <c r="A144" t="s">
        <v>207</v>
      </c>
      <c r="B144" t="s">
        <v>128</v>
      </c>
      <c r="C144" t="s">
        <v>204</v>
      </c>
      <c r="D144" t="s">
        <v>205</v>
      </c>
      <c r="E144" t="s">
        <v>206</v>
      </c>
      <c r="F144" t="s">
        <v>30</v>
      </c>
      <c r="G144">
        <v>232306626.06999999</v>
      </c>
      <c r="H144">
        <v>7.6805336504878726E-3</v>
      </c>
      <c r="I144">
        <v>1.6598643358649821E-2</v>
      </c>
      <c r="J144">
        <v>1.161905035105487E-2</v>
      </c>
    </row>
    <row r="145" spans="1:10" x14ac:dyDescent="0.35">
      <c r="A145" t="s">
        <v>207</v>
      </c>
      <c r="B145" t="s">
        <v>128</v>
      </c>
      <c r="C145" t="s">
        <v>173</v>
      </c>
      <c r="D145" t="s">
        <v>174</v>
      </c>
      <c r="E145" t="s">
        <v>175</v>
      </c>
      <c r="F145" t="s">
        <v>15</v>
      </c>
      <c r="G145">
        <v>216510068.71000001</v>
      </c>
      <c r="H145">
        <v>7.1582670564700893E-3</v>
      </c>
      <c r="I145">
        <v>1.546995656073607E-2</v>
      </c>
      <c r="J145">
        <v>1.0828969592515249E-2</v>
      </c>
    </row>
    <row r="146" spans="1:10" x14ac:dyDescent="0.35">
      <c r="A146" t="s">
        <v>207</v>
      </c>
      <c r="B146" t="s">
        <v>128</v>
      </c>
      <c r="C146" t="s">
        <v>214</v>
      </c>
      <c r="D146" t="s">
        <v>215</v>
      </c>
      <c r="E146" t="s">
        <v>216</v>
      </c>
      <c r="F146" t="s">
        <v>132</v>
      </c>
      <c r="G146">
        <v>209813232.49000001</v>
      </c>
      <c r="H146">
        <v>6.9368559120285304E-3</v>
      </c>
      <c r="I146">
        <v>1.499145795771485E-2</v>
      </c>
      <c r="J146">
        <v>1.04940205704004E-2</v>
      </c>
    </row>
    <row r="147" spans="1:10" x14ac:dyDescent="0.35">
      <c r="A147" t="s">
        <v>207</v>
      </c>
      <c r="B147" t="s">
        <v>128</v>
      </c>
      <c r="C147" t="s">
        <v>125</v>
      </c>
      <c r="D147" t="s">
        <v>126</v>
      </c>
      <c r="E147" t="s">
        <v>127</v>
      </c>
      <c r="F147" t="s">
        <v>34</v>
      </c>
      <c r="G147">
        <v>204472734.30000001</v>
      </c>
      <c r="H147">
        <v>6.7602880854771476E-3</v>
      </c>
      <c r="I147">
        <v>1.4609871662425051E-2</v>
      </c>
      <c r="J147">
        <v>1.022691016369753E-2</v>
      </c>
    </row>
    <row r="148" spans="1:10" x14ac:dyDescent="0.35">
      <c r="A148" t="s">
        <v>207</v>
      </c>
      <c r="B148" t="s">
        <v>128</v>
      </c>
      <c r="C148" t="s">
        <v>217</v>
      </c>
      <c r="D148" t="s">
        <v>218</v>
      </c>
      <c r="E148" t="s">
        <v>219</v>
      </c>
      <c r="F148" t="s">
        <v>15</v>
      </c>
      <c r="G148">
        <v>171471740.63</v>
      </c>
      <c r="H148">
        <v>5.6692075309965496E-3</v>
      </c>
      <c r="I148">
        <v>1.225190308582348E-2</v>
      </c>
      <c r="J148">
        <v>8.5763321600764338E-3</v>
      </c>
    </row>
    <row r="149" spans="1:10" x14ac:dyDescent="0.35">
      <c r="A149" t="s">
        <v>207</v>
      </c>
      <c r="B149" t="s">
        <v>128</v>
      </c>
      <c r="C149" t="s">
        <v>220</v>
      </c>
      <c r="D149" t="s">
        <v>221</v>
      </c>
      <c r="E149" t="s">
        <v>222</v>
      </c>
      <c r="F149" t="s">
        <v>23</v>
      </c>
      <c r="G149">
        <v>158188742.02000001</v>
      </c>
      <c r="H149">
        <v>5.2300443459880131E-3</v>
      </c>
      <c r="I149">
        <v>1.1302813684497511E-2</v>
      </c>
      <c r="J149">
        <v>7.9119695791482602E-3</v>
      </c>
    </row>
    <row r="150" spans="1:10" x14ac:dyDescent="0.35">
      <c r="A150" t="s">
        <v>207</v>
      </c>
      <c r="B150" t="s">
        <v>128</v>
      </c>
      <c r="C150" t="s">
        <v>223</v>
      </c>
      <c r="D150" t="s">
        <v>224</v>
      </c>
      <c r="E150" t="s">
        <v>225</v>
      </c>
      <c r="F150" t="s">
        <v>226</v>
      </c>
      <c r="G150">
        <v>93757146.920000002</v>
      </c>
      <c r="H150">
        <v>3.0998036262461538E-3</v>
      </c>
      <c r="I150">
        <v>6.6990833209409949E-3</v>
      </c>
      <c r="J150">
        <v>4.689358324658696E-3</v>
      </c>
    </row>
    <row r="151" spans="1:10" x14ac:dyDescent="0.35">
      <c r="A151" t="s">
        <v>207</v>
      </c>
      <c r="B151" t="s">
        <v>128</v>
      </c>
      <c r="C151" t="s">
        <v>227</v>
      </c>
      <c r="D151" t="s">
        <v>228</v>
      </c>
      <c r="E151" t="s">
        <v>229</v>
      </c>
      <c r="F151" t="s">
        <v>68</v>
      </c>
      <c r="G151">
        <v>86104352.560000002</v>
      </c>
      <c r="H151">
        <v>2.8467865444839978E-3</v>
      </c>
      <c r="I151">
        <v>6.152280130572888E-3</v>
      </c>
      <c r="J151">
        <v>4.3065960914010224E-3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30_70</vt:lpstr>
      <vt:lpstr>Sheet1</vt:lpstr>
      <vt:lpstr>50_50</vt:lpstr>
      <vt:lpstr>Sheet2</vt:lpstr>
      <vt:lpstr>70_30</vt:lpstr>
      <vt:lpstr>Sheet3</vt:lpstr>
      <vt:lpstr>all_portfolios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Buliao Huang</cp:lastModifiedBy>
  <dcterms:created xsi:type="dcterms:W3CDTF">2026-05-07T02:35:00Z</dcterms:created>
  <dcterms:modified xsi:type="dcterms:W3CDTF">2026-05-07T02:52:29Z</dcterms:modified>
</cp:coreProperties>
</file>